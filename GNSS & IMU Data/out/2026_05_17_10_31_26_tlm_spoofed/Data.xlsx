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usti\Desktop\Facultate\SD\GNSS &amp; IMU Data\out\2026_05_17_10_31_26_tlm_spoofed\"/>
    </mc:Choice>
  </mc:AlternateContent>
  <xr:revisionPtr revIDLastSave="0" documentId="13_ncr:1_{A8AEAFC4-A8A5-4647-9603-65F93D30F7ED}" xr6:coauthVersionLast="47" xr6:coauthVersionMax="47" xr10:uidLastSave="{00000000-0000-0000-0000-000000000000}"/>
  <bookViews>
    <workbookView xWindow="2715" yWindow="3885" windowWidth="32505" windowHeight="15150" activeTab="3" xr2:uid="{00000000-000D-0000-FFFF-FFFF00000000}"/>
  </bookViews>
  <sheets>
    <sheet name="novatel_oem615" sheetId="3" r:id="rId1"/>
    <sheet name="generic_imu" sheetId="4" r:id="rId2"/>
    <sheet name="COM6_2026_05_17_18_53_50_882_pa" sheetId="5" r:id="rId3"/>
    <sheet name="Data" sheetId="1" r:id="rId4"/>
  </sheets>
  <definedNames>
    <definedName name="ExternalData_1" localSheetId="2" hidden="1">COM6_2026_05_17_18_53_50_882_pa!$A$1:$P$275</definedName>
    <definedName name="ExternalData_1" localSheetId="1" hidden="1">generic_imu!$A$1:$L$72</definedName>
    <definedName name="ExternalData_2" localSheetId="0" hidden="1">novatel_oem615!$A$1:$R$278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 a="1"/>
  <c r="AI2" i="1" s="1"/>
  <c r="AH2" i="1" a="1"/>
  <c r="AH2" i="1" s="1"/>
  <c r="AG2" i="1" a="1"/>
  <c r="AG2" i="1" s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23F5A0-44C8-42C3-9381-CC6BD0FA40D8}" keepAlive="1" name="Query - COM6_2026_05_17_18_53_50_882_parsed" description="Connection to the 'COM6_2026_05_17_18_53_50_882_parsed' query in the workbook." type="5" refreshedVersion="8" background="1" saveData="1">
    <dbPr connection="Provider=Microsoft.Mashup.OleDb.1;Data Source=$Workbook$;Location=COM6_2026_05_17_18_53_50_882_parsed;Extended Properties=&quot;&quot;" command="SELECT * FROM [COM6_2026_05_17_18_53_50_882_parsed]"/>
  </connection>
  <connection id="2" xr16:uid="{9AACA052-36D8-4142-B8A5-22F1D1CB57DF}" keepAlive="1" name="Query - generic_imu" description="Connection to the 'generic_imu' query in the workbook." type="5" refreshedVersion="8" background="1" saveData="1">
    <dbPr connection="Provider=Microsoft.Mashup.OleDb.1;Data Source=$Workbook$;Location=generic_imu;Extended Properties=&quot;&quot;" command="SELECT * FROM [generic_imu]"/>
  </connection>
  <connection id="3" xr16:uid="{6D32FB8C-9CED-47E0-9577-90A9B577A8E0}" keepAlive="1" name="Query - novatel_oem615" description="Connection to the 'novatel_oem615' query in the workbook." type="5" refreshedVersion="8" background="1" saveData="1">
    <dbPr connection="Provider=Microsoft.Mashup.OleDb.1;Data Source=$Workbook$;Location=novatel_oem615;Extended Properties=&quot;&quot;" command="SELECT * FROM [novatel_oem61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<sst xmlns="http://schemas.openxmlformats.org/spreadsheetml/2006/main" count="628" uniqueCount="206">
  <si>
    <t>CCSDS_STREAMID</t>
  </si>
  <si>
    <t>CCSDS_SEQUENCE</t>
  </si>
  <si>
    <t>CCSDS_LENGTH</t>
  </si>
  <si>
    <t>CCSDS_SECONDS</t>
  </si>
  <si>
    <t>CCSDS_SUBSECS</t>
  </si>
  <si>
    <t>CCSDS_SPARE</t>
  </si>
  <si>
    <t>X_LINEAR_ACCELERATION</t>
  </si>
  <si>
    <t>X_ANGULAR_RATE</t>
  </si>
  <si>
    <t>Y_LINEAR_ACCELERATION</t>
  </si>
  <si>
    <t>Y_ANGULAR_RATE</t>
  </si>
  <si>
    <t>Z_LINEAR_ACCELERATION</t>
  </si>
  <si>
    <t>Z_ANGULAR_RATE</t>
  </si>
  <si>
    <t>GPS_WEEKS</t>
  </si>
  <si>
    <t>GPS_SECONDS</t>
  </si>
  <si>
    <t>GPS_FRAC_SECS</t>
  </si>
  <si>
    <t>ECEF_X</t>
  </si>
  <si>
    <t>ECEF_Y</t>
  </si>
  <si>
    <t>ECEF_Z</t>
  </si>
  <si>
    <t>VEL_X</t>
  </si>
  <si>
    <t>VEL_Y</t>
  </si>
  <si>
    <t>VEL_Z</t>
  </si>
  <si>
    <t>LAT</t>
  </si>
  <si>
    <t>LON</t>
  </si>
  <si>
    <t>ALT</t>
  </si>
  <si>
    <t>sample_index</t>
  </si>
  <si>
    <t>t</t>
  </si>
  <si>
    <t>risk</t>
  </si>
  <si>
    <t>state</t>
  </si>
  <si>
    <t>flags</t>
  </si>
  <si>
    <t>flags_dec</t>
  </si>
  <si>
    <t>time</t>
  </si>
  <si>
    <t>pos</t>
  </si>
  <si>
    <t>vel</t>
  </si>
  <si>
    <t>imu</t>
  </si>
  <si>
    <t>stale</t>
  </si>
  <si>
    <t>heading</t>
  </si>
  <si>
    <t>stationary</t>
  </si>
  <si>
    <t>innovation</t>
  </si>
  <si>
    <t>rejected</t>
  </si>
  <si>
    <t>raw_line</t>
  </si>
  <si>
    <t>0x0015</t>
  </si>
  <si>
    <t>AS,t=206387082.421,risk=0.70,state=2,flags=0x0015,time=1,pos=0,vel=1,imu=0,stale=1,heading=0,stationary=0,innovation=0,rejected=0</t>
  </si>
  <si>
    <t>0x0000</t>
  </si>
  <si>
    <t>AS,t=206387082.671,risk=0.00,state=0,flags=0x0000,time=0,pos=0,vel=0,imu=0,stale=0,heading=0,stationary=0,innovation=0,rejected=0</t>
  </si>
  <si>
    <t>AS,t=206387082.921,risk=0.00,state=0,flags=0x0000,time=0,pos=0,vel=0,imu=0,stale=0,heading=0,stationary=0,innovation=0,rejected=0</t>
  </si>
  <si>
    <t>AS,t=206387083.171,risk=0.00,state=0,flags=0x0000,time=0,pos=0,vel=0,imu=0,stale=0,heading=0,stationary=0,innovation=0,rejected=0</t>
  </si>
  <si>
    <t>AS,t=206387083.671,risk=0.00,state=0,flags=0x0000,time=0,pos=0,vel=0,imu=0,stale=0,heading=0,stationary=0,innovation=0,rejected=0</t>
  </si>
  <si>
    <t>AS,t=206387083.921,risk=0.00,state=0,flags=0x0000,time=0,pos=0,vel=0,imu=0,stale=0,heading=0,stationary=0,innovation=0,rejected=0</t>
  </si>
  <si>
    <t>AS,t=206387084.171,risk=0.00,state=0,flags=0x0000,time=0,pos=0,vel=0,imu=0,stale=0,heading=0,stationary=0,innovation=0,rejected=0</t>
  </si>
  <si>
    <t>AS,t=206387084.421,risk=0.00,state=0,flags=0x0000,time=0,pos=0,vel=0,imu=0,stale=0,heading=0,stationary=0,innovation=0,rejected=0</t>
  </si>
  <si>
    <t>AS,t=206387084.671,risk=0.00,state=0,flags=0x0000,time=0,pos=0,vel=0,imu=0,stale=0,heading=0,stationary=0,innovation=0,rejected=0</t>
  </si>
  <si>
    <t>AS,t=206387084.921,risk=0.00,state=0,flags=0x0000,time=0,pos=0,vel=0,imu=0,stale=0,heading=0,stationary=0,innovation=0,rejected=0</t>
  </si>
  <si>
    <t>AS,t=206387085.171,risk=0.00,state=0,flags=0x0000,time=0,pos=0,vel=0,imu=0,stale=0,heading=0,stationary=0,innovation=0,rejected=0</t>
  </si>
  <si>
    <t>AS,t=206387085.421,risk=0.00,state=0,flags=0x0000,time=0,pos=0,vel=0,imu=0,stale=0,heading=0,stationary=0,innovation=0,rejected=0</t>
  </si>
  <si>
    <t>AS,t=206387085.671,risk=0.00,state=0,flags=0x0000,time=0,pos=0,vel=0,imu=0,stale=0,heading=0,stationary=0,innovation=0,rejected=0</t>
  </si>
  <si>
    <t>AS,t=206387085.921,risk=0.00,state=0,flags=0x0000,time=0,pos=0,vel=0,imu=0,stale=0,heading=0,stationary=0,innovation=0,rejected=0</t>
  </si>
  <si>
    <t>AS,t=206387086.171,risk=0.00,state=0,flags=0x0000,time=0,pos=0,vel=0,imu=0,stale=0,heading=0,stationary=0,innovation=0,rejected=0</t>
  </si>
  <si>
    <t>AS,t=206387086.421,risk=0.00,state=0,flags=0x0000,time=0,pos=0,vel=0,imu=0,stale=0,heading=0,stationary=0,innovation=0,rejected=0</t>
  </si>
  <si>
    <t>AS,t=206387086.671,risk=0.00,state=0,flags=0x0000,time=0,pos=0,vel=0,imu=0,stale=0,heading=0,stationary=0,innovation=0,rejected=0</t>
  </si>
  <si>
    <t>AS,t=206387086.921,risk=0.00,state=0,flags=0x0000,time=0,pos=0,vel=0,imu=0,stale=0,heading=0,stationary=0,innovation=0,rejected=0</t>
  </si>
  <si>
    <t>AS,t=206387087.171,risk=0.00,state=0,flags=0x0000,time=0,pos=0,vel=0,imu=0,stale=0,heading=0,stationary=0,innovation=0,rejected=0</t>
  </si>
  <si>
    <t>AS,t=206387087.421,risk=0.00,state=0,flags=0x0000,time=0,pos=0,vel=0,imu=0,stale=0,heading=0,stationary=0,innovation=0,rejected=0</t>
  </si>
  <si>
    <t>AS,t=206387087.671,risk=0.00,state=0,flags=0x0000,time=0,pos=0,vel=0,imu=0,stale=0,heading=0,stationary=0,innovation=0,rejected=0</t>
  </si>
  <si>
    <t>AS,t=206387087.921,risk=0.00,state=0,flags=0x0000,time=0,pos=0,vel=0,imu=0,stale=0,heading=0,stationary=0,innovation=0,rejected=0</t>
  </si>
  <si>
    <t>AS,t=206387088.171,risk=0.00,state=0,flags=0x0000,time=0,pos=0,vel=0,imu=0,stale=0,heading=0,stationary=0,innovation=0,rejected=0</t>
  </si>
  <si>
    <t>AS,t=206387088.421,risk=0.00,state=0,flags=0x0000,time=0,pos=0,vel=0,imu=0,stale=0,heading=0,stationary=0,innovation=0,rejected=0</t>
  </si>
  <si>
    <t>AS,t=206387088.921,risk=0.00,state=0,flags=0x0000,time=0,pos=0,vel=0,imu=0,stale=0,heading=0,stationary=0,innovation=0,rejected=0</t>
  </si>
  <si>
    <t>AS,t=206387089.171,risk=0.00,state=0,flags=0x0000,time=0,pos=0,vel=0,imu=0,stale=0,heading=0,stationary=0,innovation=0,rejected=0</t>
  </si>
  <si>
    <t>AS,t=206387089.421,risk=0.00,state=0,flags=0x0000,time=0,pos=0,vel=0,imu=0,stale=0,heading=0,stationary=0,innovation=0,rejected=0</t>
  </si>
  <si>
    <t>AS,t=206387089.671,risk=0.00,state=0,flags=0x0000,time=0,pos=0,vel=0,imu=0,stale=0,heading=0,stationary=0,innovation=0,rejected=0</t>
  </si>
  <si>
    <t>AS,t=206387089.921,risk=0.00,state=0,flags=0x0000,time=0,pos=0,vel=0,imu=0,stale=0,heading=0,stationary=0,innovation=0,rejected=0</t>
  </si>
  <si>
    <t>AS,t=206387090.171,risk=0.00,state=0,flags=0x0000,time=0,pos=0,vel=0,imu=0,stale=0,heading=0,stationary=0,innovation=0,rejected=0</t>
  </si>
  <si>
    <t>AS,t=206387090.421,risk=0.00,state=0,flags=0x0000,time=0,pos=0,vel=0,imu=0,stale=0,heading=0,stationary=0,innovation=0,rejected=0</t>
  </si>
  <si>
    <t>AS,t=206387090.671,risk=0.00,state=0,flags=0x0000,time=0,pos=0,vel=0,imu=0,stale=0,heading=0,stationary=0,innovation=0,rejected=0</t>
  </si>
  <si>
    <t>AS,t=206387090.921,risk=0.00,state=0,flags=0x0000,time=0,pos=0,vel=0,imu=0,stale=0,heading=0,stationary=0,innovation=0,rejected=0</t>
  </si>
  <si>
    <t>AS,t=206387091.171,risk=0.00,state=0,flags=0x0000,time=0,pos=0,vel=0,imu=0,stale=0,heading=0,stationary=0,innovation=0,rejected=0</t>
  </si>
  <si>
    <t>AS,t=206387091.421,risk=0.00,state=0,flags=0x0000,time=0,pos=0,vel=0,imu=0,stale=0,heading=0,stationary=0,innovation=0,rejected=0</t>
  </si>
  <si>
    <t>AS,t=206387091.671,risk=0.00,state=0,flags=0x0000,time=0,pos=0,vel=0,imu=0,stale=0,heading=0,stationary=0,innovation=0,rejected=0</t>
  </si>
  <si>
    <t>AS,t=206387091.921,risk=0.00,state=0,flags=0x0000,time=0,pos=0,vel=0,imu=0,stale=0,heading=0,stationary=0,innovation=0,rejected=0</t>
  </si>
  <si>
    <t>AS,t=206387092.171,risk=0.00,state=0,flags=0x0000,time=0,pos=0,vel=0,imu=0,stale=0,heading=0,stationary=0,innovation=0,rejected=0</t>
  </si>
  <si>
    <t>AS,t=206387092.421,risk=0.00,state=0,flags=0x0000,time=0,pos=0,vel=0,imu=0,stale=0,heading=0,stationary=0,innovation=0,rejected=0</t>
  </si>
  <si>
    <t>AS,t=206387092.671,risk=0.00,state=0,flags=0x0000,time=0,pos=0,vel=0,imu=0,stale=0,heading=0,stationary=0,innovation=0,rejected=0</t>
  </si>
  <si>
    <t>AS,t=206387092.921,risk=0.00,state=0,flags=0x0000,time=0,pos=0,vel=0,imu=0,stale=0,heading=0,stationary=0,innovation=0,rejected=0</t>
  </si>
  <si>
    <t>AS,t=206387093.171,risk=0.00,state=0,flags=0x0000,time=0,pos=0,vel=0,imu=0,stale=0,heading=0,stationary=0,innovation=0,rejected=0</t>
  </si>
  <si>
    <t>AS,t=206387093.421,risk=0.00,state=0,flags=0x0000,time=0,pos=0,vel=0,imu=0,stale=0,heading=0,stationary=0,innovation=0,rejected=0</t>
  </si>
  <si>
    <t>AS,t=206387093.671,risk=0.00,state=0,flags=0x0000,time=0,pos=0,vel=0,imu=0,stale=0,heading=0,stationary=0,innovation=0,rejected=0</t>
  </si>
  <si>
    <t>AS,t=206387093.921,risk=0.00,state=0,flags=0x0000,time=0,pos=0,vel=0,imu=0,stale=0,heading=0,stationary=0,innovation=0,rejected=0</t>
  </si>
  <si>
    <t>0x0005</t>
  </si>
  <si>
    <t>AS,t=206387093.921,risk=0.50,state=1,flags=0x0005,time=1,pos=0,vel=1,imu=0,stale=0,heading=0,stationary=0,innovation=0,rejected=0</t>
  </si>
  <si>
    <t>AS,t=206387094.421,risk=0.00,state=0,flags=0x0000,time=0,pos=0,vel=0,imu=0,stale=0,heading=0,stationary=0,innovation=0,rejected=0</t>
  </si>
  <si>
    <t>AS,t=206387094.671,risk=0.00,state=0,flags=0x0000,time=0,pos=0,vel=0,imu=0,stale=0,heading=0,stationary=0,innovation=0,rejected=0</t>
  </si>
  <si>
    <t>AS,t=206387094.921,risk=0.00,state=0,flags=0x0000,time=0,pos=0,vel=0,imu=0,stale=0,heading=0,stationary=0,innovation=0,rejected=0</t>
  </si>
  <si>
    <t>AS,t=206387095.171,risk=0.00,state=0,flags=0x0000,time=0,pos=0,vel=0,imu=0,stale=0,heading=0,stationary=0,innovation=0,rejected=0</t>
  </si>
  <si>
    <t>AS,t=206387095.421,risk=0.00,state=0,flags=0x0000,time=0,pos=0,vel=0,imu=0,stale=0,heading=0,stationary=0,innovation=0,rejected=0</t>
  </si>
  <si>
    <t>AS,t=206387095.671,risk=0.00,state=0,flags=0x0000,time=0,pos=0,vel=0,imu=0,stale=0,heading=0,stationary=0,innovation=0,rejected=0</t>
  </si>
  <si>
    <t>AS,t=206387095.921,risk=0.00,state=0,flags=0x0000,time=0,pos=0,vel=0,imu=0,stale=0,heading=0,stationary=0,innovation=0,rejected=0</t>
  </si>
  <si>
    <t>AS,t=206387096.171,risk=0.00,state=0,flags=0x0000,time=0,pos=0,vel=0,imu=0,stale=0,heading=0,stationary=0,innovation=0,rejected=0</t>
  </si>
  <si>
    <t>AS,t=206387096.421,risk=0.00,state=0,flags=0x0000,time=0,pos=0,vel=0,imu=0,stale=0,heading=0,stationary=0,innovation=0,rejected=0</t>
  </si>
  <si>
    <t>AS,t=206387096.671,risk=0.00,state=0,flags=0x0000,time=0,pos=0,vel=0,imu=0,stale=0,heading=0,stationary=0,innovation=0,rejected=0</t>
  </si>
  <si>
    <t>AS,t=206387096.921,risk=0.00,state=0,flags=0x0000,time=0,pos=0,vel=0,imu=0,stale=0,heading=0,stationary=0,innovation=0,rejected=0</t>
  </si>
  <si>
    <t>AS,t=206387097.171,risk=0.00,state=0,flags=0x0000,time=0,pos=0,vel=0,imu=0,stale=0,heading=0,stationary=0,innovation=0,rejected=0</t>
  </si>
  <si>
    <t>AS,t=206387097.421,risk=0.00,state=0,flags=0x0000,time=0,pos=0,vel=0,imu=0,stale=0,heading=0,stationary=0,innovation=0,rejected=0</t>
  </si>
  <si>
    <t>AS,t=206387097.671,risk=0.00,state=0,flags=0x0000,time=0,pos=0,vel=0,imu=0,stale=0,heading=0,stationary=0,innovation=0,rejected=0</t>
  </si>
  <si>
    <t>AS,t=206387097.921,risk=0.00,state=0,flags=0x0000,time=0,pos=0,vel=0,imu=0,stale=0,heading=0,stationary=0,innovation=0,rejected=0</t>
  </si>
  <si>
    <t>AS,t=206387098.171,risk=0.00,state=0,flags=0x0000,time=0,pos=0,vel=0,imu=0,stale=0,heading=0,stationary=0,innovation=0,rejected=0</t>
  </si>
  <si>
    <t>AS,t=206387098.421,risk=0.00,state=0,flags=0x0000,time=0,pos=0,vel=0,imu=0,stale=0,heading=0,stationary=0,innovation=0,rejected=0</t>
  </si>
  <si>
    <t>AS,t=206387098.671,risk=0.00,state=0,flags=0x0000,time=0,pos=0,vel=0,imu=0,stale=0,heading=0,stationary=0,innovation=0,rejected=0</t>
  </si>
  <si>
    <t>AS,t=206387098.921,risk=0.00,state=0,flags=0x0000,time=0,pos=0,vel=0,imu=0,stale=0,heading=0,stationary=0,innovation=0,rejected=0</t>
  </si>
  <si>
    <t>AS,t=206387099.171,risk=0.00,state=0,flags=0x0000,time=0,pos=0,vel=0,imu=0,stale=0,heading=0,stationary=0,innovation=0,rejected=0</t>
  </si>
  <si>
    <t>AS,t=206387099.421,risk=0.00,state=0,flags=0x0000,time=0,pos=0,vel=0,imu=0,stale=0,heading=0,stationary=0,innovation=0,rejected=0</t>
  </si>
  <si>
    <t>AS,t=206387099.421,risk=0.50,state=1,flags=0x0005,time=1,pos=0,vel=1,imu=0,stale=0,heading=0,stationary=0,innovation=0,rejected=0</t>
  </si>
  <si>
    <t>AS,t=206387100.171,risk=0.00,state=0,flags=0x0000,time=0,pos=0,vel=0,imu=0,stale=0,heading=0,stationary=0,innovation=0,rejected=0</t>
  </si>
  <si>
    <t>AS,t=206387100.421,risk=0.00,state=0,flags=0x0000,time=0,pos=0,vel=0,imu=0,stale=0,heading=0,stationary=0,innovation=0,rejected=0</t>
  </si>
  <si>
    <t>AS,t=206387100.671,risk=0.00,state=0,flags=0x0000,time=0,pos=0,vel=0,imu=0,stale=0,heading=0,stationary=0,innovation=0,rejected=0</t>
  </si>
  <si>
    <t>AS,t=206387100.921,risk=0.00,state=0,flags=0x0000,time=0,pos=0,vel=0,imu=0,stale=0,heading=0,stationary=0,innovation=0,rejected=0</t>
  </si>
  <si>
    <t>AS,t=206387101.171,risk=0.00,state=0,flags=0x0000,time=0,pos=0,vel=0,imu=0,stale=0,heading=0,stationary=0,innovation=0,rejected=0</t>
  </si>
  <si>
    <t>AS,t=206387101.421,risk=0.00,state=0,flags=0x0000,time=0,pos=0,vel=0,imu=0,stale=0,heading=0,stationary=0,innovation=0,rejected=0</t>
  </si>
  <si>
    <t>0x0004</t>
  </si>
  <si>
    <t>AS,t=206387101.671,risk=0.20,state=0,flags=0x0004,time=0,pos=0,vel=1,imu=0,stale=0,heading=0,stationary=0,innovation=0,rejected=0</t>
  </si>
  <si>
    <t>AS,t=206387101.921,risk=0.00,state=0,flags=0x0000,time=0,pos=0,vel=0,imu=0,stale=0,heading=0,stationary=0,innovation=0,rejected=0</t>
  </si>
  <si>
    <t>AS,t=206387102.171,risk=0.00,state=0,flags=0x0000,time=0,pos=0,vel=0,imu=0,stale=0,heading=0,stationary=0,innovation=0,rejected=0</t>
  </si>
  <si>
    <t>AS,t=206387102.421,risk=0.00,state=0,flags=0x0000,time=0,pos=0,vel=0,imu=0,stale=0,heading=0,stationary=0,innovation=0,rejected=0</t>
  </si>
  <si>
    <t>AS,t=206387102.671,risk=0.00,state=0,flags=0x0000,time=0,pos=0,vel=0,imu=0,stale=0,heading=0,stationary=0,innovation=0,rejected=0</t>
  </si>
  <si>
    <t>AS,t=206387102.921,risk=0.00,state=0,flags=0x0000,time=0,pos=0,vel=0,imu=0,stale=0,heading=0,stationary=0,innovation=0,rejected=0</t>
  </si>
  <si>
    <t>AS,t=206387103.171,risk=0.00,state=0,flags=0x0000,time=0,pos=0,vel=0,imu=0,stale=0,heading=0,stationary=0,innovation=0,rejected=0</t>
  </si>
  <si>
    <t>AS,t=206387103.421,risk=0.00,state=0,flags=0x0000,time=0,pos=0,vel=0,imu=0,stale=0,heading=0,stationary=0,innovation=0,rejected=0</t>
  </si>
  <si>
    <t>AS,t=206387103.421,risk=0.50,state=1,flags=0x0005,time=1,pos=0,vel=1,imu=0,stale=0,heading=0,stationary=0,innovation=0,rejected=0</t>
  </si>
  <si>
    <t>0x0001</t>
  </si>
  <si>
    <t>AS,t=206387135.671,risk=0.30,state=1,flags=0x0001,time=1,pos=0,vel=0,imu=0,stale=0,heading=0,stationary=0,innovation=0,rejected=0</t>
  </si>
  <si>
    <t>AS,t=206387136.171,risk=0.00,state=0,flags=0x0000,time=0,pos=0,vel=0,imu=0,stale=0,heading=0,stationary=0,innovation=0,rejected=0</t>
  </si>
  <si>
    <t>AS,t=206387136.421,risk=0.00,state=0,flags=0x0000,time=0,pos=0,vel=0,imu=0,stale=0,heading=0,stationary=0,innovation=0,rejected=0</t>
  </si>
  <si>
    <t>AS,t=206387136.671,risk=0.00,state=0,flags=0x0000,time=0,pos=0,vel=0,imu=0,stale=0,heading=0,stationary=0,innovation=0,rejected=0</t>
  </si>
  <si>
    <t>AS,t=206387136.921,risk=0.00,state=0,flags=0x0000,time=0,pos=0,vel=0,imu=0,stale=0,heading=0,stationary=0,innovation=0,rejected=0</t>
  </si>
  <si>
    <t>AS,t=206387137.171,risk=0.00,state=0,flags=0x0000,time=0,pos=0,vel=0,imu=0,stale=0,heading=0,stationary=0,innovation=0,rejected=0</t>
  </si>
  <si>
    <t>AS,t=206387137.421,risk=0.00,state=0,flags=0x0000,time=0,pos=0,vel=0,imu=0,stale=0,heading=0,stationary=0,innovation=0,rejected=0</t>
  </si>
  <si>
    <t>AS,t=206387137.671,risk=0.20,state=0,flags=0x0004,time=0,pos=0,vel=1,imu=0,stale=0,heading=0,stationary=0,innovation=0,rejected=0</t>
  </si>
  <si>
    <t>AS,t=206387137.671,risk=0.50,state=1,flags=0x0005,time=1,pos=0,vel=1,imu=0,stale=0,heading=0,stationary=0,innovation=0,rejected=0</t>
  </si>
  <si>
    <t>AS,t=206387138.421,risk=0.00,state=0,flags=0x0000,time=0,pos=0,vel=0,imu=0,stale=0,heading=0,stationary=0,innovation=0,rejected=0</t>
  </si>
  <si>
    <t>AS,t=206387138.421,risk=0.50,state=1,flags=0x0005,time=1,pos=0,vel=1,imu=0,stale=0,heading=0,stationary=0,innovation=0,rejected=0</t>
  </si>
  <si>
    <t>AS,t=206387138.921,risk=0.00,state=0,flags=0x0000,time=0,pos=0,vel=0,imu=0,stale=0,heading=0,stationary=0,innovation=0,rejected=0</t>
  </si>
  <si>
    <t>AS,t=206387139.171,risk=0.00,state=0,flags=0x0000,time=0,pos=0,vel=0,imu=0,stale=0,heading=0,stationary=0,innovation=0,rejected=0</t>
  </si>
  <si>
    <t>AS,t=206387139.421,risk=0.00,state=0,flags=0x0000,time=0,pos=0,vel=0,imu=0,stale=0,heading=0,stationary=0,innovation=0,rejected=0</t>
  </si>
  <si>
    <t>AS,t=206387139.671,risk=0.00,state=0,flags=0x0000,time=0,pos=0,vel=0,imu=0,stale=0,heading=0,stationary=0,innovation=0,rejected=0</t>
  </si>
  <si>
    <t>AS,t=206387139.921,risk=0.00,state=0,flags=0x0000,time=0,pos=0,vel=0,imu=0,stale=0,heading=0,stationary=0,innovation=0,rejected=0</t>
  </si>
  <si>
    <t>AS,t=206387140.171,risk=0.00,state=0,flags=0x0000,time=0,pos=0,vel=0,imu=0,stale=0,heading=0,stationary=0,innovation=0,rejected=0</t>
  </si>
  <si>
    <t>AS,t=206387140.421,risk=0.00,state=0,flags=0x0000,time=0,pos=0,vel=0,imu=0,stale=0,heading=0,stationary=0,innovation=0,rejected=0</t>
  </si>
  <si>
    <t>AS,t=206387140.671,risk=0.00,state=0,flags=0x0000,time=0,pos=0,vel=0,imu=0,stale=0,heading=0,stationary=0,innovation=0,rejected=0</t>
  </si>
  <si>
    <t>AS,t=206387140.921,risk=0.00,state=0,flags=0x0000,time=0,pos=0,vel=0,imu=0,stale=0,heading=0,stationary=0,innovation=0,rejected=0</t>
  </si>
  <si>
    <t>AS,t=206387141.171,risk=0.00,state=0,flags=0x0000,time=0,pos=0,vel=0,imu=0,stale=0,heading=0,stationary=0,innovation=0,rejected=0</t>
  </si>
  <si>
    <t>AS,t=206387141.421,risk=0.00,state=0,flags=0x0000,time=0,pos=0,vel=0,imu=0,stale=0,heading=0,stationary=0,innovation=0,rejected=0</t>
  </si>
  <si>
    <t>AS,t=206387141.671,risk=0.00,state=0,flags=0x0000,time=0,pos=0,vel=0,imu=0,stale=0,heading=0,stationary=0,innovation=0,rejected=0</t>
  </si>
  <si>
    <t>AS,t=206387141.921,risk=0.00,state=0,flags=0x0000,time=0,pos=0,vel=0,imu=0,stale=0,heading=0,stationary=0,innovation=0,rejected=0</t>
  </si>
  <si>
    <t>AS,t=206387142.171,risk=0.00,state=0,flags=0x0000,time=0,pos=0,vel=0,imu=0,stale=0,heading=0,stationary=0,innovation=0,rejected=0</t>
  </si>
  <si>
    <t>AS,t=206387142.421,risk=0.00,state=0,flags=0x0000,time=0,pos=0,vel=0,imu=0,stale=0,heading=0,stationary=0,innovation=0,rejected=0</t>
  </si>
  <si>
    <t>AS,t=206387142.671,risk=0.00,state=0,flags=0x0000,time=0,pos=0,vel=0,imu=0,stale=0,heading=0,stationary=0,innovation=0,rejected=0</t>
  </si>
  <si>
    <t>AS,t=206387143.421,risk=0.00,state=0,flags=0x0000,time=0,pos=0,vel=0,imu=0,stale=0,heading=0,stationary=0,innovation=0,rejected=0</t>
  </si>
  <si>
    <t>AS,t=206387143.671,risk=0.00,state=0,flags=0x0000,time=0,pos=0,vel=0,imu=0,stale=0,heading=0,stationary=0,innovation=0,rejected=0</t>
  </si>
  <si>
    <t>AS,t=206387143.921,risk=0.00,state=0,flags=0x0000,time=0,pos=0,vel=0,imu=0,stale=0,heading=0,stationary=0,innovation=0,rejected=0</t>
  </si>
  <si>
    <t>AS,t=206387144.171,risk=0.00,state=0,flags=0x0000,time=0,pos=0,vel=0,imu=0,stale=0,heading=0,stationary=0,innovation=0,rejected=0</t>
  </si>
  <si>
    <t>AS,t=206387144.421,risk=0.00,state=0,flags=0x0000,time=0,pos=0,vel=0,imu=0,stale=0,heading=0,stationary=0,innovation=0,rejected=0</t>
  </si>
  <si>
    <t>AS,t=206387144.671,risk=0.00,state=0,flags=0x0000,time=0,pos=0,vel=0,imu=0,stale=0,heading=0,stationary=0,innovation=0,rejected=0</t>
  </si>
  <si>
    <t>AS,t=206387144.921,risk=0.00,state=0,flags=0x0000,time=0,pos=0,vel=0,imu=0,stale=0,heading=0,stationary=0,innovation=0,rejected=0</t>
  </si>
  <si>
    <t>AS,t=206387145.171,risk=0.00,state=0,flags=0x0000,time=0,pos=0,vel=0,imu=0,stale=0,heading=0,stationary=0,innovation=0,rejected=0</t>
  </si>
  <si>
    <t>AS,t=206387145.421,risk=0.00,state=0,flags=0x0000,time=0,pos=0,vel=0,imu=0,stale=0,heading=0,stationary=0,innovation=0,rejected=0</t>
  </si>
  <si>
    <t>AS,t=206387145.671,risk=0.00,state=0,flags=0x0000,time=0,pos=0,vel=0,imu=0,stale=0,heading=0,stationary=0,innovation=0,rejected=0</t>
  </si>
  <si>
    <t>AS,t=206387145.921,risk=0.00,state=0,flags=0x0000,time=0,pos=0,vel=0,imu=0,stale=0,heading=0,stationary=0,innovation=0,rejected=0</t>
  </si>
  <si>
    <t>AS,t=206387146.171,risk=0.00,state=0,flags=0x0000,time=0,pos=0,vel=0,imu=0,stale=0,heading=0,stationary=0,innovation=0,rejected=0</t>
  </si>
  <si>
    <t>AS,t=206387146.421,risk=0.00,state=0,flags=0x0000,time=0,pos=0,vel=0,imu=0,stale=0,heading=0,stationary=0,innovation=0,rejected=0</t>
  </si>
  <si>
    <t>AS,t=206387146.671,risk=0.00,state=0,flags=0x0000,time=0,pos=0,vel=0,imu=0,stale=0,heading=0,stationary=0,innovation=0,rejected=0</t>
  </si>
  <si>
    <t>AS,t=206387146.921,risk=0.00,state=0,flags=0x0000,time=0,pos=0,vel=0,imu=0,stale=0,heading=0,stationary=0,innovation=0,rejected=0</t>
  </si>
  <si>
    <t>AS,t=206387147.171,risk=0.00,state=0,flags=0x0000,time=0,pos=0,vel=0,imu=0,stale=0,heading=0,stationary=0,innovation=0,rejected=0</t>
  </si>
  <si>
    <t>AS,t=206387147.421,risk=0.00,state=0,flags=0x0000,time=0,pos=0,vel=0,imu=0,stale=0,heading=0,stationary=0,innovation=0,rejected=0</t>
  </si>
  <si>
    <t>AS,t=206387147.671,risk=0.00,state=0,flags=0x0000,time=0,pos=0,vel=0,imu=0,stale=0,heading=0,stationary=0,innovation=0,rejected=0</t>
  </si>
  <si>
    <t>AS,t=206387147.921,risk=0.00,state=0,flags=0x0000,time=0,pos=0,vel=0,imu=0,stale=0,heading=0,stationary=0,innovation=0,rejected=0</t>
  </si>
  <si>
    <t>0x0006</t>
  </si>
  <si>
    <t>AS,t=206387148.171,risk=0.50,state=1,flags=0x0006,time=0,pos=1,vel=1,imu=0,stale=0,heading=0,stationary=0,innovation=0,rejected=0</t>
  </si>
  <si>
    <t>AS,t=206387148.421,risk=0.00,state=0,flags=0x0000,time=0,pos=0,vel=0,imu=0,stale=0,heading=0,stationary=0,innovation=0,rejected=0</t>
  </si>
  <si>
    <t>AS,t=206387148.671,risk=0.00,state=0,flags=0x0000,time=0,pos=0,vel=0,imu=0,stale=0,heading=0,stationary=0,innovation=0,rejected=0</t>
  </si>
  <si>
    <t>AS,t=206387148.921,risk=0.00,state=0,flags=0x0000,time=0,pos=0,vel=0,imu=0,stale=0,heading=0,stationary=0,innovation=0,rejected=0</t>
  </si>
  <si>
    <t>AS,t=206387148.921,risk=0.50,state=1,flags=0x0005,time=1,pos=0,vel=1,imu=0,stale=0,heading=0,stationary=0,innovation=0,rejected=0</t>
  </si>
  <si>
    <t>AS,t=206387149.421,risk=0.00,state=0,flags=0x0000,time=0,pos=0,vel=0,imu=0,stale=0,heading=0,stationary=0,innovation=0,rejected=0</t>
  </si>
  <si>
    <t>AS,t=206387149.671,risk=0.00,state=0,flags=0x0000,time=0,pos=0,vel=0,imu=0,stale=0,heading=0,stationary=0,innovation=0,rejected=0</t>
  </si>
  <si>
    <t>AS,t=206387149.921,risk=0.00,state=0,flags=0x0000,time=0,pos=0,vel=0,imu=0,stale=0,heading=0,stationary=0,innovation=0,rejected=0</t>
  </si>
  <si>
    <t>AS,t=206387150.171,risk=0.00,state=0,flags=0x0000,time=0,pos=0,vel=0,imu=0,stale=0,heading=0,stationary=0,innovation=0,rejected=0</t>
  </si>
  <si>
    <t>AS,t=206387150.421,risk=0.00,state=0,flags=0x0000,time=0,pos=0,vel=0,imu=0,stale=0,heading=0,stationary=0,innovation=0,rejected=0</t>
  </si>
  <si>
    <t>AS,t=206387150.671,risk=0.00,state=0,flags=0x0000,time=0,pos=0,vel=0,imu=0,stale=0,heading=0,stationary=0,innovation=0,rejected=0</t>
  </si>
  <si>
    <t>AS,t=206387150.921,risk=0.00,state=0,flags=0x0000,time=0,pos=0,vel=0,imu=0,stale=0,heading=0,stationary=0,innovation=0,rejected=0</t>
  </si>
  <si>
    <t>AS,t=206387151.171,risk=0.00,state=0,flags=0x0000,time=0,pos=0,vel=0,imu=0,stale=0,heading=0,stationary=0,innovation=0,rejected=0</t>
  </si>
  <si>
    <t>AS,t=206387151.421,risk=0.00,state=0,flags=0x0000,time=0,pos=0,vel=0,imu=0,stale=0,heading=0,stationary=0,innovation=0,rejected=0</t>
  </si>
  <si>
    <t>AS,t=206387151.671,risk=0.00,state=0,flags=0x0000,time=0,pos=0,vel=0,imu=0,stale=0,heading=0,stationary=0,innovation=0,rejected=0</t>
  </si>
  <si>
    <t>AS,t=206387151.921,risk=0.00,state=0,flags=0x0000,time=0,pos=0,vel=0,imu=0,stale=0,heading=0,stationary=0,innovation=0,rejected=0</t>
  </si>
  <si>
    <t>AS,t=206387152.171,risk=0.00,state=0,flags=0x0000,time=0,pos=0,vel=0,imu=0,stale=0,heading=0,stationary=0,innovation=0,rejected=0</t>
  </si>
  <si>
    <t>AS,t=206387152.421,risk=0.00,state=0,flags=0x0000,time=0,pos=0,vel=0,imu=0,stale=0,heading=0,stationary=0,innovation=0,rejected=0</t>
  </si>
  <si>
    <t>AS,t=206387152.671,risk=0.00,state=0,flags=0x0000,time=0,pos=0,vel=0,imu=0,stale=0,heading=0,stationary=0,innovation=0,rejected=0</t>
  </si>
  <si>
    <t>AS,t=206387152.921,risk=0.20,state=0,flags=0x0004,time=0,pos=0,vel=1,imu=0,stale=0,heading=0,stationary=0,innovation=0,rejected=0</t>
  </si>
  <si>
    <t>AS,t=206387153.171,risk=0.00,state=0,flags=0x0000,time=0,pos=0,vel=0,imu=0,stale=0,heading=0,stationary=0,innovation=0,rejected=0</t>
  </si>
  <si>
    <t>Novatel timestamp</t>
  </si>
  <si>
    <t>pos_ext</t>
  </si>
  <si>
    <t>vel_ext</t>
  </si>
  <si>
    <t>imu_ext</t>
  </si>
  <si>
    <t>stale_ext</t>
  </si>
  <si>
    <t>heading_ext</t>
  </si>
  <si>
    <t>stationary_ext</t>
  </si>
  <si>
    <t>innovation_ext</t>
  </si>
  <si>
    <t>rejected_ext</t>
  </si>
  <si>
    <t>time_ext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</si>
</sst>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LAT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Data!$R$2:$R$279</c:f>
              <c:numCache>
                <c:formatCode>General</c:formatCode>
                <c:ptCount val="278"/>
                <c:pt idx="0">
                  <c:v>2.5349731449999999</c:v>
                </c:pt>
                <c:pt idx="1">
                  <c:v>2.5349731449999999</c:v>
                </c:pt>
                <c:pt idx="2">
                  <c:v>2.5349731449999999</c:v>
                </c:pt>
                <c:pt idx="3">
                  <c:v>2.5349731449999999</c:v>
                </c:pt>
                <c:pt idx="4">
                  <c:v>2.5349731449999999</c:v>
                </c:pt>
                <c:pt idx="5">
                  <c:v>2.5349731449999999</c:v>
                </c:pt>
                <c:pt idx="6">
                  <c:v>2.5349731449999999</c:v>
                </c:pt>
                <c:pt idx="7">
                  <c:v>2.5349731449999999</c:v>
                </c:pt>
                <c:pt idx="8">
                  <c:v>2.5349731449999999</c:v>
                </c:pt>
                <c:pt idx="9">
                  <c:v>2.5349731449999999</c:v>
                </c:pt>
                <c:pt idx="10">
                  <c:v>2.5349731449999999</c:v>
                </c:pt>
                <c:pt idx="11">
                  <c:v>2.5349731449999999</c:v>
                </c:pt>
                <c:pt idx="12">
                  <c:v>2.5349731449999999</c:v>
                </c:pt>
                <c:pt idx="13">
                  <c:v>2.5349731449999999</c:v>
                </c:pt>
                <c:pt idx="14">
                  <c:v>2.5349731449999999</c:v>
                </c:pt>
                <c:pt idx="15">
                  <c:v>2.5349731449999999</c:v>
                </c:pt>
                <c:pt idx="16">
                  <c:v>2.5349731449999999</c:v>
                </c:pt>
                <c:pt idx="17">
                  <c:v>2.5349731449999999</c:v>
                </c:pt>
                <c:pt idx="18">
                  <c:v>2.5349731449999999</c:v>
                </c:pt>
                <c:pt idx="19">
                  <c:v>2.5349731449999999</c:v>
                </c:pt>
                <c:pt idx="20">
                  <c:v>2.5349731449999999</c:v>
                </c:pt>
                <c:pt idx="21">
                  <c:v>2.5349731449999999</c:v>
                </c:pt>
                <c:pt idx="22">
                  <c:v>2.5349731449999999</c:v>
                </c:pt>
                <c:pt idx="23">
                  <c:v>2.5349731449999999</c:v>
                </c:pt>
                <c:pt idx="24">
                  <c:v>2.5349731449999999</c:v>
                </c:pt>
                <c:pt idx="25">
                  <c:v>2.5349731449999999</c:v>
                </c:pt>
                <c:pt idx="26">
                  <c:v>2.5349731449999999</c:v>
                </c:pt>
                <c:pt idx="27">
                  <c:v>2.5349731449999999</c:v>
                </c:pt>
                <c:pt idx="28">
                  <c:v>2.5349731449999999</c:v>
                </c:pt>
                <c:pt idx="29">
                  <c:v>2.5349731449999999</c:v>
                </c:pt>
                <c:pt idx="30">
                  <c:v>2.5349731449999999</c:v>
                </c:pt>
                <c:pt idx="31">
                  <c:v>2.5349731449999999</c:v>
                </c:pt>
                <c:pt idx="32">
                  <c:v>2.5349731449999999</c:v>
                </c:pt>
                <c:pt idx="33">
                  <c:v>2.5349731449999999</c:v>
                </c:pt>
                <c:pt idx="34">
                  <c:v>2.5349731449999999</c:v>
                </c:pt>
                <c:pt idx="35">
                  <c:v>2.5349731449999999</c:v>
                </c:pt>
                <c:pt idx="36">
                  <c:v>2.5349731449999999</c:v>
                </c:pt>
                <c:pt idx="37">
                  <c:v>2.5349731449999999</c:v>
                </c:pt>
                <c:pt idx="38">
                  <c:v>2.5349731449999999</c:v>
                </c:pt>
                <c:pt idx="39">
                  <c:v>2.5349731449999999</c:v>
                </c:pt>
                <c:pt idx="40">
                  <c:v>2.5349731449999999</c:v>
                </c:pt>
                <c:pt idx="41">
                  <c:v>2.5349731449999999</c:v>
                </c:pt>
                <c:pt idx="42">
                  <c:v>2.5349731449999999</c:v>
                </c:pt>
                <c:pt idx="43">
                  <c:v>2.5349731449999999</c:v>
                </c:pt>
                <c:pt idx="44">
                  <c:v>2.5349731449999999</c:v>
                </c:pt>
                <c:pt idx="45">
                  <c:v>2.5349731449999999</c:v>
                </c:pt>
                <c:pt idx="46">
                  <c:v>3.7449572089999998</c:v>
                </c:pt>
                <c:pt idx="47">
                  <c:v>3.7449572089999998</c:v>
                </c:pt>
                <c:pt idx="48">
                  <c:v>3.7449572089999998</c:v>
                </c:pt>
                <c:pt idx="49">
                  <c:v>3.7449572089999998</c:v>
                </c:pt>
                <c:pt idx="50">
                  <c:v>3.7449572089999998</c:v>
                </c:pt>
                <c:pt idx="51">
                  <c:v>3.7449572089999998</c:v>
                </c:pt>
                <c:pt idx="52">
                  <c:v>3.7449572089999998</c:v>
                </c:pt>
                <c:pt idx="53">
                  <c:v>3.7449572089999998</c:v>
                </c:pt>
                <c:pt idx="54">
                  <c:v>3.7449572089999998</c:v>
                </c:pt>
                <c:pt idx="55">
                  <c:v>3.7449572089999998</c:v>
                </c:pt>
                <c:pt idx="56">
                  <c:v>3.7449572089999998</c:v>
                </c:pt>
                <c:pt idx="57">
                  <c:v>3.7449572089999998</c:v>
                </c:pt>
                <c:pt idx="58">
                  <c:v>3.7449572089999998</c:v>
                </c:pt>
                <c:pt idx="59">
                  <c:v>3.7449572089999998</c:v>
                </c:pt>
                <c:pt idx="60">
                  <c:v>3.7449572089999998</c:v>
                </c:pt>
                <c:pt idx="61">
                  <c:v>3.7449572089999998</c:v>
                </c:pt>
                <c:pt idx="62">
                  <c:v>3.7449572089999998</c:v>
                </c:pt>
                <c:pt idx="63">
                  <c:v>3.7449572089999998</c:v>
                </c:pt>
                <c:pt idx="64">
                  <c:v>3.7449572089999998</c:v>
                </c:pt>
                <c:pt idx="65">
                  <c:v>3.7449572089999998</c:v>
                </c:pt>
                <c:pt idx="66">
                  <c:v>3.7449572089999998</c:v>
                </c:pt>
                <c:pt idx="67">
                  <c:v>3.7449572089999998</c:v>
                </c:pt>
                <c:pt idx="68">
                  <c:v>4.0257096289999996</c:v>
                </c:pt>
                <c:pt idx="69">
                  <c:v>4.0257096289999996</c:v>
                </c:pt>
                <c:pt idx="70">
                  <c:v>4.0257096289999996</c:v>
                </c:pt>
                <c:pt idx="71">
                  <c:v>4.0257096289999996</c:v>
                </c:pt>
                <c:pt idx="72">
                  <c:v>4.0257096289999996</c:v>
                </c:pt>
                <c:pt idx="73">
                  <c:v>4.0257096289999996</c:v>
                </c:pt>
                <c:pt idx="74">
                  <c:v>4.0257096289999996</c:v>
                </c:pt>
                <c:pt idx="75">
                  <c:v>4.0257096289999996</c:v>
                </c:pt>
                <c:pt idx="76">
                  <c:v>4.0257096289999996</c:v>
                </c:pt>
                <c:pt idx="77">
                  <c:v>4.0257096289999996</c:v>
                </c:pt>
                <c:pt idx="78">
                  <c:v>4.0257096289999996</c:v>
                </c:pt>
                <c:pt idx="79">
                  <c:v>4.0257096289999996</c:v>
                </c:pt>
                <c:pt idx="80">
                  <c:v>4.0257096289999996</c:v>
                </c:pt>
                <c:pt idx="81">
                  <c:v>4.0257096289999996</c:v>
                </c:pt>
                <c:pt idx="82">
                  <c:v>4.0257096289999996</c:v>
                </c:pt>
                <c:pt idx="83">
                  <c:v>4.0257096289999996</c:v>
                </c:pt>
                <c:pt idx="84">
                  <c:v>4.0257096289999996</c:v>
                </c:pt>
                <c:pt idx="85">
                  <c:v>4.0257096289999996</c:v>
                </c:pt>
                <c:pt idx="86">
                  <c:v>4.0257096289999996</c:v>
                </c:pt>
                <c:pt idx="87">
                  <c:v>4.0257096289999996</c:v>
                </c:pt>
                <c:pt idx="88">
                  <c:v>4.0257096289999996</c:v>
                </c:pt>
                <c:pt idx="89">
                  <c:v>4.0257096289999996</c:v>
                </c:pt>
                <c:pt idx="90">
                  <c:v>4.0257096289999996</c:v>
                </c:pt>
                <c:pt idx="91">
                  <c:v>4.0257096289999996</c:v>
                </c:pt>
                <c:pt idx="92">
                  <c:v>4.0257096289999996</c:v>
                </c:pt>
                <c:pt idx="93">
                  <c:v>4.0257096289999996</c:v>
                </c:pt>
                <c:pt idx="94">
                  <c:v>4.0257096289999996</c:v>
                </c:pt>
                <c:pt idx="95">
                  <c:v>4.0257096289999996</c:v>
                </c:pt>
                <c:pt idx="96">
                  <c:v>4.0257096289999996</c:v>
                </c:pt>
                <c:pt idx="97">
                  <c:v>4.0257096289999996</c:v>
                </c:pt>
                <c:pt idx="98">
                  <c:v>4.0257096289999996</c:v>
                </c:pt>
                <c:pt idx="99">
                  <c:v>4.0257096289999996</c:v>
                </c:pt>
                <c:pt idx="100">
                  <c:v>4.0257096289999996</c:v>
                </c:pt>
                <c:pt idx="101">
                  <c:v>4.0257096289999996</c:v>
                </c:pt>
                <c:pt idx="102">
                  <c:v>4.0257096289999996</c:v>
                </c:pt>
                <c:pt idx="103">
                  <c:v>4.0257096289999996</c:v>
                </c:pt>
                <c:pt idx="104">
                  <c:v>4.0257096289999996</c:v>
                </c:pt>
                <c:pt idx="105">
                  <c:v>4.0257096289999996</c:v>
                </c:pt>
                <c:pt idx="106">
                  <c:v>4.0257096289999996</c:v>
                </c:pt>
                <c:pt idx="107">
                  <c:v>4.0257096289999996</c:v>
                </c:pt>
                <c:pt idx="108">
                  <c:v>4.0257096289999996</c:v>
                </c:pt>
                <c:pt idx="109">
                  <c:v>4.0257096289999996</c:v>
                </c:pt>
                <c:pt idx="110">
                  <c:v>4.0257096289999996</c:v>
                </c:pt>
                <c:pt idx="111">
                  <c:v>4.0257096289999996</c:v>
                </c:pt>
                <c:pt idx="112">
                  <c:v>4.0257096289999996</c:v>
                </c:pt>
                <c:pt idx="113">
                  <c:v>4.0257096289999996</c:v>
                </c:pt>
                <c:pt idx="114">
                  <c:v>4.0257096289999996</c:v>
                </c:pt>
                <c:pt idx="115">
                  <c:v>4.0257096289999996</c:v>
                </c:pt>
                <c:pt idx="116">
                  <c:v>4.0257096289999996</c:v>
                </c:pt>
                <c:pt idx="117">
                  <c:v>4.0257096289999996</c:v>
                </c:pt>
                <c:pt idx="118">
                  <c:v>4.0257096289999996</c:v>
                </c:pt>
                <c:pt idx="119">
                  <c:v>4.0257096289999996</c:v>
                </c:pt>
                <c:pt idx="120">
                  <c:v>4.0257096289999996</c:v>
                </c:pt>
                <c:pt idx="121">
                  <c:v>4.0257096289999996</c:v>
                </c:pt>
                <c:pt idx="122">
                  <c:v>4.0257096289999996</c:v>
                </c:pt>
                <c:pt idx="123">
                  <c:v>4.0257096289999996</c:v>
                </c:pt>
                <c:pt idx="124">
                  <c:v>4.0257096289999996</c:v>
                </c:pt>
                <c:pt idx="125">
                  <c:v>4.0257096289999996</c:v>
                </c:pt>
                <c:pt idx="126">
                  <c:v>4.0257096289999996</c:v>
                </c:pt>
                <c:pt idx="127">
                  <c:v>4.0257096289999996</c:v>
                </c:pt>
                <c:pt idx="128">
                  <c:v>4.0257096289999996</c:v>
                </c:pt>
                <c:pt idx="129">
                  <c:v>4.0257096289999996</c:v>
                </c:pt>
                <c:pt idx="130">
                  <c:v>4.0257096289999996</c:v>
                </c:pt>
                <c:pt idx="131">
                  <c:v>4.0257096289999996</c:v>
                </c:pt>
                <c:pt idx="132">
                  <c:v>4.0257096289999996</c:v>
                </c:pt>
                <c:pt idx="133">
                  <c:v>4.0257096289999996</c:v>
                </c:pt>
                <c:pt idx="134">
                  <c:v>4.0257096289999996</c:v>
                </c:pt>
                <c:pt idx="135">
                  <c:v>4.0257096289999996</c:v>
                </c:pt>
                <c:pt idx="136">
                  <c:v>4.0257096289999996</c:v>
                </c:pt>
                <c:pt idx="137">
                  <c:v>4.0257096289999996</c:v>
                </c:pt>
                <c:pt idx="138">
                  <c:v>4.0257096289999996</c:v>
                </c:pt>
                <c:pt idx="139">
                  <c:v>4.0257096289999996</c:v>
                </c:pt>
                <c:pt idx="140">
                  <c:v>4.0257096289999996</c:v>
                </c:pt>
                <c:pt idx="141">
                  <c:v>4.0257096289999996</c:v>
                </c:pt>
                <c:pt idx="142">
                  <c:v>4.0257096289999996</c:v>
                </c:pt>
                <c:pt idx="143">
                  <c:v>4.0257096289999996</c:v>
                </c:pt>
                <c:pt idx="144">
                  <c:v>4.0257096289999996</c:v>
                </c:pt>
                <c:pt idx="145">
                  <c:v>4.0257096289999996</c:v>
                </c:pt>
                <c:pt idx="146">
                  <c:v>4.0257096289999996</c:v>
                </c:pt>
                <c:pt idx="147">
                  <c:v>4.0257096289999996</c:v>
                </c:pt>
                <c:pt idx="148">
                  <c:v>4.0257096289999996</c:v>
                </c:pt>
                <c:pt idx="149">
                  <c:v>4.0257096289999996</c:v>
                </c:pt>
                <c:pt idx="150">
                  <c:v>4.0257096289999996</c:v>
                </c:pt>
                <c:pt idx="151">
                  <c:v>4.0257096289999996</c:v>
                </c:pt>
                <c:pt idx="152">
                  <c:v>4.0257096289999996</c:v>
                </c:pt>
                <c:pt idx="153">
                  <c:v>4.0257096289999996</c:v>
                </c:pt>
                <c:pt idx="154">
                  <c:v>4.0257096289999996</c:v>
                </c:pt>
                <c:pt idx="155">
                  <c:v>4.0257096289999996</c:v>
                </c:pt>
                <c:pt idx="156">
                  <c:v>4.0257096289999996</c:v>
                </c:pt>
                <c:pt idx="157">
                  <c:v>4.0257096289999996</c:v>
                </c:pt>
                <c:pt idx="158">
                  <c:v>4.0257096289999996</c:v>
                </c:pt>
                <c:pt idx="159">
                  <c:v>4.0257096289999996</c:v>
                </c:pt>
                <c:pt idx="160">
                  <c:v>4.0257096289999996</c:v>
                </c:pt>
                <c:pt idx="161">
                  <c:v>4.0257096289999996</c:v>
                </c:pt>
                <c:pt idx="162">
                  <c:v>4.0257096289999996</c:v>
                </c:pt>
                <c:pt idx="163">
                  <c:v>4.0257096289999996</c:v>
                </c:pt>
                <c:pt idx="164">
                  <c:v>4.0257096289999996</c:v>
                </c:pt>
                <c:pt idx="165">
                  <c:v>4.0257096289999996</c:v>
                </c:pt>
                <c:pt idx="166">
                  <c:v>4.0257096289999996</c:v>
                </c:pt>
                <c:pt idx="167">
                  <c:v>4.0257096289999996</c:v>
                </c:pt>
                <c:pt idx="168">
                  <c:v>4.0257096289999996</c:v>
                </c:pt>
                <c:pt idx="169">
                  <c:v>4.0257096289999996</c:v>
                </c:pt>
                <c:pt idx="170">
                  <c:v>4.0257096289999996</c:v>
                </c:pt>
                <c:pt idx="171">
                  <c:v>4.0257096289999996</c:v>
                </c:pt>
                <c:pt idx="172">
                  <c:v>4.0257096289999996</c:v>
                </c:pt>
                <c:pt idx="173">
                  <c:v>4.0257096289999996</c:v>
                </c:pt>
                <c:pt idx="174">
                  <c:v>4.0257096289999996</c:v>
                </c:pt>
                <c:pt idx="175">
                  <c:v>4.0257096289999996</c:v>
                </c:pt>
                <c:pt idx="176">
                  <c:v>4.0257096289999996</c:v>
                </c:pt>
                <c:pt idx="177">
                  <c:v>4.0257096289999996</c:v>
                </c:pt>
                <c:pt idx="178">
                  <c:v>4.0257096289999996</c:v>
                </c:pt>
                <c:pt idx="179">
                  <c:v>4.0257096289999996</c:v>
                </c:pt>
                <c:pt idx="180">
                  <c:v>4.0257096289999996</c:v>
                </c:pt>
                <c:pt idx="181">
                  <c:v>4.0257096289999996</c:v>
                </c:pt>
                <c:pt idx="182">
                  <c:v>4.0257096289999996</c:v>
                </c:pt>
                <c:pt idx="183">
                  <c:v>4.0257096289999996</c:v>
                </c:pt>
                <c:pt idx="184">
                  <c:v>4.0257096289999996</c:v>
                </c:pt>
                <c:pt idx="185">
                  <c:v>4.0257096289999996</c:v>
                </c:pt>
                <c:pt idx="186">
                  <c:v>4.0257096289999996</c:v>
                </c:pt>
                <c:pt idx="187">
                  <c:v>4.0257096289999996</c:v>
                </c:pt>
                <c:pt idx="188">
                  <c:v>4.0257096289999996</c:v>
                </c:pt>
                <c:pt idx="189">
                  <c:v>4.0257096289999996</c:v>
                </c:pt>
                <c:pt idx="190">
                  <c:v>4.0257096289999996</c:v>
                </c:pt>
                <c:pt idx="191">
                  <c:v>4.0257096289999996</c:v>
                </c:pt>
                <c:pt idx="192">
                  <c:v>4.0257096289999996</c:v>
                </c:pt>
                <c:pt idx="193">
                  <c:v>4.0257096289999996</c:v>
                </c:pt>
                <c:pt idx="194">
                  <c:v>4.0257096289999996</c:v>
                </c:pt>
                <c:pt idx="195">
                  <c:v>4.0257096289999996</c:v>
                </c:pt>
                <c:pt idx="196">
                  <c:v>4.0257096289999996</c:v>
                </c:pt>
                <c:pt idx="197">
                  <c:v>4.0257096289999996</c:v>
                </c:pt>
                <c:pt idx="198">
                  <c:v>4.0257096289999996</c:v>
                </c:pt>
                <c:pt idx="199">
                  <c:v>4.0257096289999996</c:v>
                </c:pt>
                <c:pt idx="200">
                  <c:v>4.0257096289999996</c:v>
                </c:pt>
                <c:pt idx="201">
                  <c:v>4.0257096289999996</c:v>
                </c:pt>
                <c:pt idx="202">
                  <c:v>4.0257096289999996</c:v>
                </c:pt>
                <c:pt idx="203">
                  <c:v>4.0257096289999996</c:v>
                </c:pt>
                <c:pt idx="204">
                  <c:v>4.0257096289999996</c:v>
                </c:pt>
                <c:pt idx="205">
                  <c:v>4.0257096289999996</c:v>
                </c:pt>
                <c:pt idx="206">
                  <c:v>4.0257096289999996</c:v>
                </c:pt>
                <c:pt idx="207">
                  <c:v>4.0257096289999996</c:v>
                </c:pt>
                <c:pt idx="208">
                  <c:v>4.0257096289999996</c:v>
                </c:pt>
                <c:pt idx="209">
                  <c:v>4.0257096289999996</c:v>
                </c:pt>
                <c:pt idx="210">
                  <c:v>4.0257096289999996</c:v>
                </c:pt>
                <c:pt idx="211">
                  <c:v>4.0257096289999996</c:v>
                </c:pt>
                <c:pt idx="212">
                  <c:v>4.0257096289999996</c:v>
                </c:pt>
                <c:pt idx="213">
                  <c:v>4.0257096289999996</c:v>
                </c:pt>
                <c:pt idx="214">
                  <c:v>4.0257096289999996</c:v>
                </c:pt>
                <c:pt idx="215">
                  <c:v>4.0257096289999996</c:v>
                </c:pt>
                <c:pt idx="216">
                  <c:v>4.0257096289999996</c:v>
                </c:pt>
                <c:pt idx="217">
                  <c:v>5.9713854790000003</c:v>
                </c:pt>
                <c:pt idx="218">
                  <c:v>5.983636379</c:v>
                </c:pt>
                <c:pt idx="219">
                  <c:v>5.983636379</c:v>
                </c:pt>
                <c:pt idx="220">
                  <c:v>6.0092201230000004</c:v>
                </c:pt>
                <c:pt idx="221">
                  <c:v>6.0092201230000004</c:v>
                </c:pt>
                <c:pt idx="222">
                  <c:v>6.0092201230000004</c:v>
                </c:pt>
                <c:pt idx="223">
                  <c:v>6.0092201230000004</c:v>
                </c:pt>
                <c:pt idx="224">
                  <c:v>6.0092201230000004</c:v>
                </c:pt>
                <c:pt idx="225">
                  <c:v>6.0092201230000004</c:v>
                </c:pt>
                <c:pt idx="226">
                  <c:v>6.0092201230000004</c:v>
                </c:pt>
                <c:pt idx="227">
                  <c:v>6.0092201230000004</c:v>
                </c:pt>
                <c:pt idx="228">
                  <c:v>6.0092201230000004</c:v>
                </c:pt>
                <c:pt idx="229">
                  <c:v>6.0092201230000004</c:v>
                </c:pt>
                <c:pt idx="230">
                  <c:v>6.0092201230000004</c:v>
                </c:pt>
                <c:pt idx="231">
                  <c:v>6.0092201230000004</c:v>
                </c:pt>
                <c:pt idx="232">
                  <c:v>6.0092201230000004</c:v>
                </c:pt>
                <c:pt idx="233">
                  <c:v>6.0092201230000004</c:v>
                </c:pt>
                <c:pt idx="234">
                  <c:v>6.0092201230000004</c:v>
                </c:pt>
                <c:pt idx="235">
                  <c:v>6.0092201230000004</c:v>
                </c:pt>
                <c:pt idx="236">
                  <c:v>6.0092201230000004</c:v>
                </c:pt>
                <c:pt idx="237">
                  <c:v>6.0092201230000004</c:v>
                </c:pt>
                <c:pt idx="238">
                  <c:v>6.0092201230000004</c:v>
                </c:pt>
                <c:pt idx="239">
                  <c:v>6.0092201230000004</c:v>
                </c:pt>
                <c:pt idx="240">
                  <c:v>6.0092201230000004</c:v>
                </c:pt>
                <c:pt idx="241">
                  <c:v>6.0092201230000004</c:v>
                </c:pt>
                <c:pt idx="242">
                  <c:v>6.0092201230000004</c:v>
                </c:pt>
                <c:pt idx="243">
                  <c:v>6.0092201230000004</c:v>
                </c:pt>
                <c:pt idx="244">
                  <c:v>6.0092201230000004</c:v>
                </c:pt>
                <c:pt idx="245">
                  <c:v>6.0092201230000004</c:v>
                </c:pt>
                <c:pt idx="246">
                  <c:v>6.0092201230000004</c:v>
                </c:pt>
                <c:pt idx="247">
                  <c:v>6.0092201230000004</c:v>
                </c:pt>
                <c:pt idx="248">
                  <c:v>6.0092201230000004</c:v>
                </c:pt>
                <c:pt idx="249">
                  <c:v>6.0092201230000004</c:v>
                </c:pt>
                <c:pt idx="250">
                  <c:v>6.0092201230000004</c:v>
                </c:pt>
                <c:pt idx="251">
                  <c:v>6.0092201230000004</c:v>
                </c:pt>
                <c:pt idx="252">
                  <c:v>6.0092201230000004</c:v>
                </c:pt>
                <c:pt idx="253">
                  <c:v>6.0092201230000004</c:v>
                </c:pt>
                <c:pt idx="254">
                  <c:v>6.0092201230000004</c:v>
                </c:pt>
                <c:pt idx="255">
                  <c:v>6.0092201230000004</c:v>
                </c:pt>
                <c:pt idx="256">
                  <c:v>6.0092201230000004</c:v>
                </c:pt>
                <c:pt idx="257">
                  <c:v>6.0092201230000004</c:v>
                </c:pt>
                <c:pt idx="258">
                  <c:v>6.0092201230000004</c:v>
                </c:pt>
                <c:pt idx="259">
                  <c:v>6.0092201230000004</c:v>
                </c:pt>
                <c:pt idx="260">
                  <c:v>6.5444741249999998</c:v>
                </c:pt>
                <c:pt idx="261">
                  <c:v>6.5444741249999998</c:v>
                </c:pt>
                <c:pt idx="262">
                  <c:v>6.5444741249999998</c:v>
                </c:pt>
                <c:pt idx="263">
                  <c:v>6.5444741249999998</c:v>
                </c:pt>
                <c:pt idx="264">
                  <c:v>6.5444741249999998</c:v>
                </c:pt>
                <c:pt idx="265">
                  <c:v>6.5444741249999998</c:v>
                </c:pt>
                <c:pt idx="266">
                  <c:v>6.5444741249999998</c:v>
                </c:pt>
                <c:pt idx="267">
                  <c:v>6.5444741249999998</c:v>
                </c:pt>
                <c:pt idx="268">
                  <c:v>6.5444741249999998</c:v>
                </c:pt>
                <c:pt idx="269">
                  <c:v>6.5444741249999998</c:v>
                </c:pt>
                <c:pt idx="270">
                  <c:v>6.5444741249999998</c:v>
                </c:pt>
                <c:pt idx="271">
                  <c:v>6.5444741249999998</c:v>
                </c:pt>
                <c:pt idx="272">
                  <c:v>6.5444741249999998</c:v>
                </c:pt>
                <c:pt idx="273">
                  <c:v>6.5444741249999998</c:v>
                </c:pt>
                <c:pt idx="274">
                  <c:v>6.5444741249999998</c:v>
                </c:pt>
                <c:pt idx="275">
                  <c:v>6.5444741249999998</c:v>
                </c:pt>
                <c:pt idx="276">
                  <c:v>6.5444741249999998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7-441A-B6D4-419A3052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719135"/>
        <c:axId val="1647611823"/>
      </c:lineChart>
      <c:catAx>
        <c:axId val="305719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11823"/>
        <c:crosses val="autoZero"/>
        <c:auto val="1"/>
        <c:lblAlgn val="ctr"/>
        <c:lblOffset val="100"/>
        <c:noMultiLvlLbl val="0"/>
      </c:catAx>
      <c:valAx>
        <c:axId val="1647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1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LON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Data!$S$2:$S$279</c:f>
              <c:numCache>
                <c:formatCode>General</c:formatCode>
                <c:ptCount val="278"/>
                <c:pt idx="0">
                  <c:v>-113.07424159999999</c:v>
                </c:pt>
                <c:pt idx="1">
                  <c:v>-113.07424159999999</c:v>
                </c:pt>
                <c:pt idx="2">
                  <c:v>-113.07424159999999</c:v>
                </c:pt>
                <c:pt idx="3">
                  <c:v>-113.07424159999999</c:v>
                </c:pt>
                <c:pt idx="4">
                  <c:v>-113.07424159999999</c:v>
                </c:pt>
                <c:pt idx="5">
                  <c:v>-113.07424159999999</c:v>
                </c:pt>
                <c:pt idx="6">
                  <c:v>-113.07424159999999</c:v>
                </c:pt>
                <c:pt idx="7">
                  <c:v>-113.07424159999999</c:v>
                </c:pt>
                <c:pt idx="8">
                  <c:v>-113.07424159999999</c:v>
                </c:pt>
                <c:pt idx="9">
                  <c:v>-113.07424159999999</c:v>
                </c:pt>
                <c:pt idx="10">
                  <c:v>-113.07424159999999</c:v>
                </c:pt>
                <c:pt idx="11">
                  <c:v>-113.07424159999999</c:v>
                </c:pt>
                <c:pt idx="12">
                  <c:v>-113.07424159999999</c:v>
                </c:pt>
                <c:pt idx="13">
                  <c:v>-113.07424159999999</c:v>
                </c:pt>
                <c:pt idx="14">
                  <c:v>-113.07424159999999</c:v>
                </c:pt>
                <c:pt idx="15">
                  <c:v>-113.07424159999999</c:v>
                </c:pt>
                <c:pt idx="16">
                  <c:v>-113.07424159999999</c:v>
                </c:pt>
                <c:pt idx="17">
                  <c:v>-113.07424159999999</c:v>
                </c:pt>
                <c:pt idx="18">
                  <c:v>-113.07424159999999</c:v>
                </c:pt>
                <c:pt idx="19">
                  <c:v>-113.07424159999999</c:v>
                </c:pt>
                <c:pt idx="20">
                  <c:v>-113.07424159999999</c:v>
                </c:pt>
                <c:pt idx="21">
                  <c:v>-113.07424159999999</c:v>
                </c:pt>
                <c:pt idx="22">
                  <c:v>-113.07424159999999</c:v>
                </c:pt>
                <c:pt idx="23">
                  <c:v>-113.07424159999999</c:v>
                </c:pt>
                <c:pt idx="24">
                  <c:v>-113.07424159999999</c:v>
                </c:pt>
                <c:pt idx="25">
                  <c:v>-113.07424159999999</c:v>
                </c:pt>
                <c:pt idx="26">
                  <c:v>-113.07424159999999</c:v>
                </c:pt>
                <c:pt idx="27">
                  <c:v>-113.07424159999999</c:v>
                </c:pt>
                <c:pt idx="28">
                  <c:v>-113.07424159999999</c:v>
                </c:pt>
                <c:pt idx="29">
                  <c:v>-113.07424159999999</c:v>
                </c:pt>
                <c:pt idx="30">
                  <c:v>-113.07424159999999</c:v>
                </c:pt>
                <c:pt idx="31">
                  <c:v>-113.07424159999999</c:v>
                </c:pt>
                <c:pt idx="32">
                  <c:v>-113.07424159999999</c:v>
                </c:pt>
                <c:pt idx="33">
                  <c:v>-113.07424159999999</c:v>
                </c:pt>
                <c:pt idx="34">
                  <c:v>-113.07424159999999</c:v>
                </c:pt>
                <c:pt idx="35">
                  <c:v>-113.07424159999999</c:v>
                </c:pt>
                <c:pt idx="36">
                  <c:v>-113.07424159999999</c:v>
                </c:pt>
                <c:pt idx="37">
                  <c:v>-113.07424159999999</c:v>
                </c:pt>
                <c:pt idx="38">
                  <c:v>-113.07424159999999</c:v>
                </c:pt>
                <c:pt idx="39">
                  <c:v>-113.07424159999999</c:v>
                </c:pt>
                <c:pt idx="40">
                  <c:v>-113.07424159999999</c:v>
                </c:pt>
                <c:pt idx="41">
                  <c:v>-113.07424159999999</c:v>
                </c:pt>
                <c:pt idx="42">
                  <c:v>-113.07424159999999</c:v>
                </c:pt>
                <c:pt idx="43">
                  <c:v>-113.07424159999999</c:v>
                </c:pt>
                <c:pt idx="44">
                  <c:v>-113.07424159999999</c:v>
                </c:pt>
                <c:pt idx="45">
                  <c:v>-113.07424159999999</c:v>
                </c:pt>
                <c:pt idx="46">
                  <c:v>-112.23027039999999</c:v>
                </c:pt>
                <c:pt idx="47">
                  <c:v>-112.23027039999999</c:v>
                </c:pt>
                <c:pt idx="48">
                  <c:v>-112.23027039999999</c:v>
                </c:pt>
                <c:pt idx="49">
                  <c:v>-112.23027039999999</c:v>
                </c:pt>
                <c:pt idx="50">
                  <c:v>-112.23027039999999</c:v>
                </c:pt>
                <c:pt idx="51">
                  <c:v>-112.23027039999999</c:v>
                </c:pt>
                <c:pt idx="52">
                  <c:v>-112.23027039999999</c:v>
                </c:pt>
                <c:pt idx="53">
                  <c:v>-112.23027039999999</c:v>
                </c:pt>
                <c:pt idx="54">
                  <c:v>-112.23027039999999</c:v>
                </c:pt>
                <c:pt idx="55">
                  <c:v>-112.23027039999999</c:v>
                </c:pt>
                <c:pt idx="56">
                  <c:v>-112.23027039999999</c:v>
                </c:pt>
                <c:pt idx="57">
                  <c:v>-112.23027039999999</c:v>
                </c:pt>
                <c:pt idx="58">
                  <c:v>-112.23027039999999</c:v>
                </c:pt>
                <c:pt idx="59">
                  <c:v>-112.23027039999999</c:v>
                </c:pt>
                <c:pt idx="60">
                  <c:v>-112.23027039999999</c:v>
                </c:pt>
                <c:pt idx="61">
                  <c:v>-112.23027039999999</c:v>
                </c:pt>
                <c:pt idx="62">
                  <c:v>-112.23027039999999</c:v>
                </c:pt>
                <c:pt idx="63">
                  <c:v>-112.23027039999999</c:v>
                </c:pt>
                <c:pt idx="64">
                  <c:v>-112.23027039999999</c:v>
                </c:pt>
                <c:pt idx="65">
                  <c:v>-112.23027039999999</c:v>
                </c:pt>
                <c:pt idx="66">
                  <c:v>-112.23027039999999</c:v>
                </c:pt>
                <c:pt idx="67">
                  <c:v>-112.23027039999999</c:v>
                </c:pt>
                <c:pt idx="68">
                  <c:v>-112.0340271</c:v>
                </c:pt>
                <c:pt idx="69">
                  <c:v>-112.0340271</c:v>
                </c:pt>
                <c:pt idx="70">
                  <c:v>-112.0340271</c:v>
                </c:pt>
                <c:pt idx="71">
                  <c:v>-112.0340271</c:v>
                </c:pt>
                <c:pt idx="72">
                  <c:v>-112.0340271</c:v>
                </c:pt>
                <c:pt idx="73">
                  <c:v>-112.0340271</c:v>
                </c:pt>
                <c:pt idx="74">
                  <c:v>-112.0340271</c:v>
                </c:pt>
                <c:pt idx="75">
                  <c:v>-112.0340271</c:v>
                </c:pt>
                <c:pt idx="76">
                  <c:v>-112.0340271</c:v>
                </c:pt>
                <c:pt idx="77">
                  <c:v>-112.0340271</c:v>
                </c:pt>
                <c:pt idx="78">
                  <c:v>-112.0340271</c:v>
                </c:pt>
                <c:pt idx="79">
                  <c:v>-112.0340271</c:v>
                </c:pt>
                <c:pt idx="80">
                  <c:v>-112.0340271</c:v>
                </c:pt>
                <c:pt idx="81">
                  <c:v>-112.0340271</c:v>
                </c:pt>
                <c:pt idx="82">
                  <c:v>-112.0340271</c:v>
                </c:pt>
                <c:pt idx="83">
                  <c:v>-112.0340271</c:v>
                </c:pt>
                <c:pt idx="84">
                  <c:v>-112.0340271</c:v>
                </c:pt>
                <c:pt idx="85">
                  <c:v>-112.0340271</c:v>
                </c:pt>
                <c:pt idx="86">
                  <c:v>-112.0340271</c:v>
                </c:pt>
                <c:pt idx="87">
                  <c:v>-112.0340271</c:v>
                </c:pt>
                <c:pt idx="88">
                  <c:v>-112.0340271</c:v>
                </c:pt>
                <c:pt idx="89">
                  <c:v>-112.0340271</c:v>
                </c:pt>
                <c:pt idx="90">
                  <c:v>-112.0340271</c:v>
                </c:pt>
                <c:pt idx="91">
                  <c:v>-112.0340271</c:v>
                </c:pt>
                <c:pt idx="92">
                  <c:v>-112.0340271</c:v>
                </c:pt>
                <c:pt idx="93">
                  <c:v>-112.0340271</c:v>
                </c:pt>
                <c:pt idx="94">
                  <c:v>-112.0340271</c:v>
                </c:pt>
                <c:pt idx="95">
                  <c:v>-112.0340271</c:v>
                </c:pt>
                <c:pt idx="96">
                  <c:v>-112.0340271</c:v>
                </c:pt>
                <c:pt idx="97">
                  <c:v>-112.0340271</c:v>
                </c:pt>
                <c:pt idx="98">
                  <c:v>-112.0340271</c:v>
                </c:pt>
                <c:pt idx="99">
                  <c:v>-112.0340271</c:v>
                </c:pt>
                <c:pt idx="100">
                  <c:v>-112.0340271</c:v>
                </c:pt>
                <c:pt idx="101">
                  <c:v>-112.0340271</c:v>
                </c:pt>
                <c:pt idx="102">
                  <c:v>-112.0340271</c:v>
                </c:pt>
                <c:pt idx="103">
                  <c:v>-112.0340271</c:v>
                </c:pt>
                <c:pt idx="104">
                  <c:v>-112.0340271</c:v>
                </c:pt>
                <c:pt idx="105">
                  <c:v>-112.0340271</c:v>
                </c:pt>
                <c:pt idx="106">
                  <c:v>-112.0340271</c:v>
                </c:pt>
                <c:pt idx="107">
                  <c:v>-112.0340271</c:v>
                </c:pt>
                <c:pt idx="108">
                  <c:v>-112.0340271</c:v>
                </c:pt>
                <c:pt idx="109">
                  <c:v>-112.0340271</c:v>
                </c:pt>
                <c:pt idx="110">
                  <c:v>-112.0340271</c:v>
                </c:pt>
                <c:pt idx="111">
                  <c:v>-112.0340271</c:v>
                </c:pt>
                <c:pt idx="112">
                  <c:v>-112.0340271</c:v>
                </c:pt>
                <c:pt idx="113">
                  <c:v>-112.0340271</c:v>
                </c:pt>
                <c:pt idx="114">
                  <c:v>-112.0340271</c:v>
                </c:pt>
                <c:pt idx="115">
                  <c:v>-112.0340271</c:v>
                </c:pt>
                <c:pt idx="116">
                  <c:v>-112.0340271</c:v>
                </c:pt>
                <c:pt idx="117">
                  <c:v>-112.0340271</c:v>
                </c:pt>
                <c:pt idx="118">
                  <c:v>-112.0340271</c:v>
                </c:pt>
                <c:pt idx="119">
                  <c:v>-112.0340271</c:v>
                </c:pt>
                <c:pt idx="120">
                  <c:v>-112.0340271</c:v>
                </c:pt>
                <c:pt idx="121">
                  <c:v>-112.0340271</c:v>
                </c:pt>
                <c:pt idx="122">
                  <c:v>-112.0340271</c:v>
                </c:pt>
                <c:pt idx="123">
                  <c:v>-112.0340271</c:v>
                </c:pt>
                <c:pt idx="124">
                  <c:v>-112.0340271</c:v>
                </c:pt>
                <c:pt idx="125">
                  <c:v>-112.0340271</c:v>
                </c:pt>
                <c:pt idx="126">
                  <c:v>-112.0340271</c:v>
                </c:pt>
                <c:pt idx="127">
                  <c:v>-112.0340271</c:v>
                </c:pt>
                <c:pt idx="128">
                  <c:v>-112.0340271</c:v>
                </c:pt>
                <c:pt idx="129">
                  <c:v>-112.0340271</c:v>
                </c:pt>
                <c:pt idx="130">
                  <c:v>-112.0340271</c:v>
                </c:pt>
                <c:pt idx="131">
                  <c:v>-112.0340271</c:v>
                </c:pt>
                <c:pt idx="132">
                  <c:v>-112.0340271</c:v>
                </c:pt>
                <c:pt idx="133">
                  <c:v>-112.0340271</c:v>
                </c:pt>
                <c:pt idx="134">
                  <c:v>-112.0340271</c:v>
                </c:pt>
                <c:pt idx="135">
                  <c:v>-112.0340271</c:v>
                </c:pt>
                <c:pt idx="136">
                  <c:v>-112.0340271</c:v>
                </c:pt>
                <c:pt idx="137">
                  <c:v>-112.0340271</c:v>
                </c:pt>
                <c:pt idx="138">
                  <c:v>-112.0340271</c:v>
                </c:pt>
                <c:pt idx="139">
                  <c:v>-112.0340271</c:v>
                </c:pt>
                <c:pt idx="140">
                  <c:v>-112.0340271</c:v>
                </c:pt>
                <c:pt idx="141">
                  <c:v>-112.0340271</c:v>
                </c:pt>
                <c:pt idx="142">
                  <c:v>-112.0340271</c:v>
                </c:pt>
                <c:pt idx="143">
                  <c:v>-112.0340271</c:v>
                </c:pt>
                <c:pt idx="144">
                  <c:v>-112.0340271</c:v>
                </c:pt>
                <c:pt idx="145">
                  <c:v>-112.0340271</c:v>
                </c:pt>
                <c:pt idx="146">
                  <c:v>-112.0340271</c:v>
                </c:pt>
                <c:pt idx="147">
                  <c:v>-112.0340271</c:v>
                </c:pt>
                <c:pt idx="148">
                  <c:v>-112.0340271</c:v>
                </c:pt>
                <c:pt idx="149">
                  <c:v>-112.0340271</c:v>
                </c:pt>
                <c:pt idx="150">
                  <c:v>-112.0340271</c:v>
                </c:pt>
                <c:pt idx="151">
                  <c:v>-112.0340271</c:v>
                </c:pt>
                <c:pt idx="152">
                  <c:v>-112.0340271</c:v>
                </c:pt>
                <c:pt idx="153">
                  <c:v>-112.0340271</c:v>
                </c:pt>
                <c:pt idx="154">
                  <c:v>-112.0340271</c:v>
                </c:pt>
                <c:pt idx="155">
                  <c:v>-112.0340271</c:v>
                </c:pt>
                <c:pt idx="156">
                  <c:v>-112.0340271</c:v>
                </c:pt>
                <c:pt idx="157">
                  <c:v>-112.0340271</c:v>
                </c:pt>
                <c:pt idx="158">
                  <c:v>-112.0340271</c:v>
                </c:pt>
                <c:pt idx="159">
                  <c:v>-112.0340271</c:v>
                </c:pt>
                <c:pt idx="160">
                  <c:v>-112.0340271</c:v>
                </c:pt>
                <c:pt idx="161">
                  <c:v>-112.0340271</c:v>
                </c:pt>
                <c:pt idx="162">
                  <c:v>-112.0340271</c:v>
                </c:pt>
                <c:pt idx="163">
                  <c:v>-112.0340271</c:v>
                </c:pt>
                <c:pt idx="164">
                  <c:v>-112.0340271</c:v>
                </c:pt>
                <c:pt idx="165">
                  <c:v>-112.0340271</c:v>
                </c:pt>
                <c:pt idx="166">
                  <c:v>-112.0340271</c:v>
                </c:pt>
                <c:pt idx="167">
                  <c:v>-112.0340271</c:v>
                </c:pt>
                <c:pt idx="168">
                  <c:v>-112.0340271</c:v>
                </c:pt>
                <c:pt idx="169">
                  <c:v>-112.0340271</c:v>
                </c:pt>
                <c:pt idx="170">
                  <c:v>-112.0340271</c:v>
                </c:pt>
                <c:pt idx="171">
                  <c:v>-112.0340271</c:v>
                </c:pt>
                <c:pt idx="172">
                  <c:v>-112.0340271</c:v>
                </c:pt>
                <c:pt idx="173">
                  <c:v>-112.0340271</c:v>
                </c:pt>
                <c:pt idx="174">
                  <c:v>-112.0340271</c:v>
                </c:pt>
                <c:pt idx="175">
                  <c:v>-112.0340271</c:v>
                </c:pt>
                <c:pt idx="176">
                  <c:v>-112.0340271</c:v>
                </c:pt>
                <c:pt idx="177">
                  <c:v>-112.0340271</c:v>
                </c:pt>
                <c:pt idx="178">
                  <c:v>-112.0340271</c:v>
                </c:pt>
                <c:pt idx="179">
                  <c:v>-112.0340271</c:v>
                </c:pt>
                <c:pt idx="180">
                  <c:v>-112.0340271</c:v>
                </c:pt>
                <c:pt idx="181">
                  <c:v>-112.0340271</c:v>
                </c:pt>
                <c:pt idx="182">
                  <c:v>-112.0340271</c:v>
                </c:pt>
                <c:pt idx="183">
                  <c:v>-112.0340271</c:v>
                </c:pt>
                <c:pt idx="184">
                  <c:v>-112.0340271</c:v>
                </c:pt>
                <c:pt idx="185">
                  <c:v>-112.0340271</c:v>
                </c:pt>
                <c:pt idx="186">
                  <c:v>-112.0340271</c:v>
                </c:pt>
                <c:pt idx="187">
                  <c:v>-112.0340271</c:v>
                </c:pt>
                <c:pt idx="188">
                  <c:v>-112.0340271</c:v>
                </c:pt>
                <c:pt idx="189">
                  <c:v>-112.0340271</c:v>
                </c:pt>
                <c:pt idx="190">
                  <c:v>-112.0340271</c:v>
                </c:pt>
                <c:pt idx="191">
                  <c:v>-112.0340271</c:v>
                </c:pt>
                <c:pt idx="192">
                  <c:v>-112.0340271</c:v>
                </c:pt>
                <c:pt idx="193">
                  <c:v>-112.0340271</c:v>
                </c:pt>
                <c:pt idx="194">
                  <c:v>-112.0340271</c:v>
                </c:pt>
                <c:pt idx="195">
                  <c:v>-112.0340271</c:v>
                </c:pt>
                <c:pt idx="196">
                  <c:v>-112.0340271</c:v>
                </c:pt>
                <c:pt idx="197">
                  <c:v>-112.0340271</c:v>
                </c:pt>
                <c:pt idx="198">
                  <c:v>-112.0340271</c:v>
                </c:pt>
                <c:pt idx="199">
                  <c:v>-112.0340271</c:v>
                </c:pt>
                <c:pt idx="200">
                  <c:v>-112.0340271</c:v>
                </c:pt>
                <c:pt idx="201">
                  <c:v>-112.0340271</c:v>
                </c:pt>
                <c:pt idx="202">
                  <c:v>-112.0340271</c:v>
                </c:pt>
                <c:pt idx="203">
                  <c:v>-112.0340271</c:v>
                </c:pt>
                <c:pt idx="204">
                  <c:v>-112.0340271</c:v>
                </c:pt>
                <c:pt idx="205">
                  <c:v>-112.0340271</c:v>
                </c:pt>
                <c:pt idx="206">
                  <c:v>-112.0340271</c:v>
                </c:pt>
                <c:pt idx="207">
                  <c:v>-112.0340271</c:v>
                </c:pt>
                <c:pt idx="208">
                  <c:v>-112.0340271</c:v>
                </c:pt>
                <c:pt idx="209">
                  <c:v>-112.0340271</c:v>
                </c:pt>
                <c:pt idx="210">
                  <c:v>-112.0340271</c:v>
                </c:pt>
                <c:pt idx="211">
                  <c:v>-112.0340271</c:v>
                </c:pt>
                <c:pt idx="212">
                  <c:v>-112.0340271</c:v>
                </c:pt>
                <c:pt idx="213">
                  <c:v>-112.0340271</c:v>
                </c:pt>
                <c:pt idx="214">
                  <c:v>-112.0340271</c:v>
                </c:pt>
                <c:pt idx="215">
                  <c:v>-112.0340271</c:v>
                </c:pt>
                <c:pt idx="216">
                  <c:v>-112.0340271</c:v>
                </c:pt>
                <c:pt idx="217">
                  <c:v>-110.66794590000001</c:v>
                </c:pt>
                <c:pt idx="218">
                  <c:v>-110.6592941</c:v>
                </c:pt>
                <c:pt idx="219">
                  <c:v>-110.6592941</c:v>
                </c:pt>
                <c:pt idx="220">
                  <c:v>-110.64121249999999</c:v>
                </c:pt>
                <c:pt idx="221">
                  <c:v>-110.64121249999999</c:v>
                </c:pt>
                <c:pt idx="222">
                  <c:v>-110.64121249999999</c:v>
                </c:pt>
                <c:pt idx="223">
                  <c:v>-110.64121249999999</c:v>
                </c:pt>
                <c:pt idx="224">
                  <c:v>-110.64121249999999</c:v>
                </c:pt>
                <c:pt idx="225">
                  <c:v>-110.64121249999999</c:v>
                </c:pt>
                <c:pt idx="226">
                  <c:v>-110.64121249999999</c:v>
                </c:pt>
                <c:pt idx="227">
                  <c:v>-110.64121249999999</c:v>
                </c:pt>
                <c:pt idx="228">
                  <c:v>-110.64121249999999</c:v>
                </c:pt>
                <c:pt idx="229">
                  <c:v>-110.64121249999999</c:v>
                </c:pt>
                <c:pt idx="230">
                  <c:v>-110.64121249999999</c:v>
                </c:pt>
                <c:pt idx="231">
                  <c:v>-110.64121249999999</c:v>
                </c:pt>
                <c:pt idx="232">
                  <c:v>-110.64121249999999</c:v>
                </c:pt>
                <c:pt idx="233">
                  <c:v>-110.64121249999999</c:v>
                </c:pt>
                <c:pt idx="234">
                  <c:v>-110.64121249999999</c:v>
                </c:pt>
                <c:pt idx="235">
                  <c:v>-110.64121249999999</c:v>
                </c:pt>
                <c:pt idx="236">
                  <c:v>-110.64121249999999</c:v>
                </c:pt>
                <c:pt idx="237">
                  <c:v>-110.64121249999999</c:v>
                </c:pt>
                <c:pt idx="238">
                  <c:v>-110.64121249999999</c:v>
                </c:pt>
                <c:pt idx="239">
                  <c:v>-110.64121249999999</c:v>
                </c:pt>
                <c:pt idx="240">
                  <c:v>-110.64121249999999</c:v>
                </c:pt>
                <c:pt idx="241">
                  <c:v>-110.64121249999999</c:v>
                </c:pt>
                <c:pt idx="242">
                  <c:v>-110.64121249999999</c:v>
                </c:pt>
                <c:pt idx="243">
                  <c:v>-110.64121249999999</c:v>
                </c:pt>
                <c:pt idx="244">
                  <c:v>-110.64121249999999</c:v>
                </c:pt>
                <c:pt idx="245">
                  <c:v>-110.64121249999999</c:v>
                </c:pt>
                <c:pt idx="246">
                  <c:v>-110.64121249999999</c:v>
                </c:pt>
                <c:pt idx="247">
                  <c:v>-110.64121249999999</c:v>
                </c:pt>
                <c:pt idx="248">
                  <c:v>-110.64121249999999</c:v>
                </c:pt>
                <c:pt idx="249">
                  <c:v>-110.64121249999999</c:v>
                </c:pt>
                <c:pt idx="250">
                  <c:v>-110.64121249999999</c:v>
                </c:pt>
                <c:pt idx="251">
                  <c:v>-110.64121249999999</c:v>
                </c:pt>
                <c:pt idx="252">
                  <c:v>-110.64121249999999</c:v>
                </c:pt>
                <c:pt idx="253">
                  <c:v>-110.64121249999999</c:v>
                </c:pt>
                <c:pt idx="254">
                  <c:v>-110.64121249999999</c:v>
                </c:pt>
                <c:pt idx="255">
                  <c:v>-110.64121249999999</c:v>
                </c:pt>
                <c:pt idx="256">
                  <c:v>-110.64121249999999</c:v>
                </c:pt>
                <c:pt idx="257">
                  <c:v>-110.64121249999999</c:v>
                </c:pt>
                <c:pt idx="258">
                  <c:v>-110.64121249999999</c:v>
                </c:pt>
                <c:pt idx="259">
                  <c:v>-110.64121249999999</c:v>
                </c:pt>
                <c:pt idx="260">
                  <c:v>-110.2629929</c:v>
                </c:pt>
                <c:pt idx="261">
                  <c:v>-110.2629929</c:v>
                </c:pt>
                <c:pt idx="262">
                  <c:v>-110.2629929</c:v>
                </c:pt>
                <c:pt idx="263">
                  <c:v>-110.2629929</c:v>
                </c:pt>
                <c:pt idx="264">
                  <c:v>-110.2629929</c:v>
                </c:pt>
                <c:pt idx="265">
                  <c:v>-110.2629929</c:v>
                </c:pt>
                <c:pt idx="266">
                  <c:v>-110.2629929</c:v>
                </c:pt>
                <c:pt idx="267">
                  <c:v>-110.2629929</c:v>
                </c:pt>
                <c:pt idx="268">
                  <c:v>-110.2629929</c:v>
                </c:pt>
                <c:pt idx="269">
                  <c:v>-110.2629929</c:v>
                </c:pt>
                <c:pt idx="270">
                  <c:v>-110.2629929</c:v>
                </c:pt>
                <c:pt idx="271">
                  <c:v>-110.2629929</c:v>
                </c:pt>
                <c:pt idx="272">
                  <c:v>-110.2629929</c:v>
                </c:pt>
                <c:pt idx="273">
                  <c:v>-110.2629929</c:v>
                </c:pt>
                <c:pt idx="274">
                  <c:v>-110.2629929</c:v>
                </c:pt>
                <c:pt idx="275">
                  <c:v>-110.2629929</c:v>
                </c:pt>
                <c:pt idx="276">
                  <c:v>-110.2629929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4-423F-B1AB-B3611239B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404895"/>
        <c:axId val="1641405375"/>
      </c:lineChart>
      <c:catAx>
        <c:axId val="1641404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05375"/>
        <c:crosses val="autoZero"/>
        <c:auto val="1"/>
        <c:lblAlgn val="ctr"/>
        <c:lblOffset val="100"/>
        <c:noMultiLvlLbl val="0"/>
      </c:catAx>
      <c:valAx>
        <c:axId val="16414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0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Data!$AC$1</c:f>
              <c:strCache>
                <c:ptCount val="1"/>
                <c:pt idx="0">
                  <c:v>time_ext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Data!$AC$2:$AC$278</c:f>
              <c:numCache>
                <c:formatCode>General</c:formatCode>
                <c:ptCount val="277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1-4796-82AC-B7A8B447CADE}"/>
            </c:ext>
          </c:extLst>
        </c:ser>
        <c:ser>
          <c:idx val="1"/>
          <c:order val="1"/>
          <c:tx>
            <c:strRef>
              <c:f>Data!$AD$1</c:f>
              <c:strCache>
                <c:ptCount val="1"/>
                <c:pt idx="0">
                  <c:v>pos_ext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Data!$AD$2:$AD$278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2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1-4796-82AC-B7A8B447CADE}"/>
            </c:ext>
          </c:extLst>
        </c:ser>
        <c:ser>
          <c:idx val="2"/>
          <c:order val="2"/>
          <c:tx>
            <c:strRef>
              <c:f>Data!$AE$1</c:f>
              <c:strCache>
                <c:ptCount val="1"/>
                <c:pt idx="0">
                  <c:v>vel_ext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Data!$AE$2:$AE$278</c:f>
              <c:numCache>
                <c:formatCode>General</c:formatCode>
                <c:ptCount val="277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0</c:v>
                </c:pt>
                <c:pt idx="217">
                  <c:v>3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3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3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D1-4796-82AC-B7A8B447CADE}"/>
            </c:ext>
          </c:extLst>
        </c:ser>
        <c:ser>
          <c:idx val="3"/>
          <c:order val="3"/>
          <c:tx>
            <c:strRef>
              <c:f>Data!$AF$1</c:f>
              <c:strCache>
                <c:ptCount val="1"/>
                <c:pt idx="0">
                  <c:v>imu_ext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Data!$AF$2:$AF$278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D1-4796-82AC-B7A8B447CADE}"/>
            </c:ext>
          </c:extLst>
        </c:ser>
        <c:ser>
          <c:idx val="4"/>
          <c:order val="4"/>
          <c:tx>
            <c:strRef>
              <c:f>Data!$AG$1</c:f>
              <c:strCache>
                <c:ptCount val="1"/>
                <c:pt idx="0">
                  <c:v>stale_ext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Data!$AG$2:$AG$278</c:f>
              <c:numCache>
                <c:formatCode>General</c:formatCode>
                <c:ptCount val="277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D1-4796-82AC-B7A8B447CADE}"/>
            </c:ext>
          </c:extLst>
        </c:ser>
        <c:ser>
          <c:idx val="5"/>
          <c:order val="5"/>
          <c:tx>
            <c:strRef>
              <c:f>Data!$AH$1</c:f>
              <c:strCache>
                <c:ptCount val="1"/>
                <c:pt idx="0">
                  <c:v>heading_ext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Data!$AH$2:$AH$278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D1-4796-82AC-B7A8B447CADE}"/>
            </c:ext>
          </c:extLst>
        </c:ser>
        <c:ser>
          <c:idx val="6"/>
          <c:order val="6"/>
          <c:tx>
            <c:strRef>
              <c:f>Data!$AI$1</c:f>
              <c:strCache>
                <c:ptCount val="1"/>
                <c:pt idx="0">
                  <c:v>stationary_ext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Data!$AI$2:$AI$278</c:f>
              <c:numCache>
                <c:formatCode>General</c:formatCode>
                <c:ptCount val="2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D1-4796-82AC-B7A8B447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962672"/>
        <c:axId val="991966032"/>
      </c:lineChart>
      <c:catAx>
        <c:axId val="99196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6032"/>
        <c:crosses val="autoZero"/>
        <c:auto val="1"/>
        <c:lblAlgn val="ctr"/>
        <c:lblOffset val="100"/>
        <c:noMultiLvlLbl val="0"/>
      </c:catAx>
      <c:valAx>
        <c:axId val="9919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96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238685</xdr:colOff>
      <xdr:row>1</xdr:row>
      <xdr:rowOff>3922</xdr:rowOff>
    </xdr:from>
    <xdr:to>
      <xdr:col>17</xdr:col>
      <xdr:colOff>490817</xdr:colOff>
      <xdr:row>15</xdr:row>
      <xdr:rowOff>80122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02ADE1-9D17-0517-5E82-8E36BC66F5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261096</xdr:colOff>
      <xdr:row>15</xdr:row>
      <xdr:rowOff>154641</xdr:rowOff>
    </xdr:from>
    <xdr:to>
      <xdr:col>17</xdr:col>
      <xdr:colOff>513228</xdr:colOff>
      <xdr:row>30</xdr:row>
      <xdr:rowOff>40341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CF34F7-A095-D0D7-87E1-63FF123369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235323</xdr:colOff>
      <xdr:row>30</xdr:row>
      <xdr:rowOff>174812</xdr:rowOff>
    </xdr:from>
    <xdr:to>
      <xdr:col>17</xdr:col>
      <xdr:colOff>481852</xdr:colOff>
      <xdr:row>45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D722BD-8531-0AC6-CED2-9F9622433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DF3ADA7-31B3-493A-B7F3-9CB09C22257C}" autoFormatId="16" applyNumberFormats="0" applyBorderFormats="0" applyFontFormats="0" applyPatternFormats="0" applyAlignmentFormats="0" applyWidthHeightFormats="0">
  <queryTableRefresh nextId="19">
    <queryTableFields count="18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GPS_WEEKS" tableColumnId="7"/>
      <queryTableField id="8" name="GPS_SECONDS" tableColumnId="8"/>
      <queryTableField id="9" name="GPS_FRAC_SECS" tableColumnId="9"/>
      <queryTableField id="10" name="ECEF_X" tableColumnId="10"/>
      <queryTableField id="11" name="ECEF_Y" tableColumnId="11"/>
      <queryTableField id="12" name="ECEF_Z" tableColumnId="12"/>
      <queryTableField id="13" name="VEL_X" tableColumnId="13"/>
      <queryTableField id="14" name="VEL_Y" tableColumnId="14"/>
      <queryTableField id="15" name="VEL_Z" tableColumnId="15"/>
      <queryTableField id="16" name="LAT" tableColumnId="16"/>
      <queryTableField id="17" name="LON" tableColumnId="17"/>
      <queryTableField id="18" name="ALT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A97614-BD88-4380-928F-FEF041763F37}" autoFormatId="16" applyNumberFormats="0" applyBorderFormats="0" applyFontFormats="0" applyPatternFormats="0" applyAlignmentFormats="0" applyWidthHeightFormats="0">
  <queryTableRefresh nextId="13">
    <queryTableFields count="12">
      <queryTableField id="1" name="CCSDS_STREAMID" tableColumnId="1"/>
      <queryTableField id="2" name="CCSDS_SEQUENCE" tableColumnId="2"/>
      <queryTableField id="3" name="CCSDS_LENGTH" tableColumnId="3"/>
      <queryTableField id="4" name="CCSDS_SECONDS" tableColumnId="4"/>
      <queryTableField id="5" name="CCSDS_SUBSECS" tableColumnId="5"/>
      <queryTableField id="6" name="CCSDS_SPARE" tableColumnId="6"/>
      <queryTableField id="7" name="X_LINEAR_ACCELERATION" tableColumnId="7"/>
      <queryTableField id="8" name="X_ANGULAR_RATE" tableColumnId="8"/>
      <queryTableField id="9" name="Y_LINEAR_ACCELERATION" tableColumnId="9"/>
      <queryTableField id="10" name="Y_ANGULAR_RATE" tableColumnId="10"/>
      <queryTableField id="11" name="Z_LINEAR_ACCELERATION" tableColumnId="11"/>
      <queryTableField id="12" name="Z_ANGULAR_RATE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BF3B59-774D-4E70-A733-376B9B212CD3}" autoFormatId="16" applyNumberFormats="0" applyBorderFormats="0" applyFontFormats="0" applyPatternFormats="0" applyAlignmentFormats="0" applyWidthHeightFormats="0">
  <queryTableRefresh nextId="17">
    <queryTableFields count="16">
      <queryTableField id="1" name="sample_index" tableColumnId="1"/>
      <queryTableField id="2" name="t" tableColumnId="2"/>
      <queryTableField id="3" name="risk" tableColumnId="3"/>
      <queryTableField id="4" name="state" tableColumnId="4"/>
      <queryTableField id="5" name="flags" tableColumnId="5"/>
      <queryTableField id="6" name="flags_dec" tableColumnId="6"/>
      <queryTableField id="7" name="time" tableColumnId="7"/>
      <queryTableField id="8" name="pos" tableColumnId="8"/>
      <queryTableField id="9" name="vel" tableColumnId="9"/>
      <queryTableField id="10" name="imu" tableColumnId="10"/>
      <queryTableField id="11" name="stale" tableColumnId="11"/>
      <queryTableField id="12" name="heading" tableColumnId="12"/>
      <queryTableField id="13" name="stationary" tableColumnId="13"/>
      <queryTableField id="14" name="innovation" tableColumnId="14"/>
      <queryTableField id="15" name="rejected" tableColumnId="15"/>
      <queryTableField id="16" name="raw_lin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C1138-FAD8-4F8F-8F8D-279DB61F2A70}" name="novatel_oem615" displayName="novatel_oem615" ref="A1:R278" tableType="queryTable" totalsRowShown="0">
  <autoFilter ref="A1:R278" xr:uid="{EA4C1138-FAD8-4F8F-8F8D-279DB61F2A70}"/>
  <tableColumns count="18">
    <tableColumn id="1" xr3:uid="{A40AB7C5-999E-4BDD-A53E-1B272072BBCD}" uniqueName="1" name="CCSDS_STREAMID" queryTableFieldId="1"/>
    <tableColumn id="2" xr3:uid="{442C4838-64F8-4862-A12F-C793E1ADA7E5}" uniqueName="2" name="CCSDS_SEQUENCE" queryTableFieldId="2"/>
    <tableColumn id="3" xr3:uid="{1F21D84B-2443-4D7F-8CD6-BB741AC854EA}" uniqueName="3" name="CCSDS_LENGTH" queryTableFieldId="3"/>
    <tableColumn id="4" xr3:uid="{FFC369D9-76B4-4C9B-86EE-6BA3EFEF2145}" uniqueName="4" name="CCSDS_SECONDS" queryTableFieldId="4"/>
    <tableColumn id="5" xr3:uid="{E3864FE6-1A9B-4CE7-ADA7-B1CA4736ACD5}" uniqueName="5" name="CCSDS_SUBSECS" queryTableFieldId="5"/>
    <tableColumn id="6" xr3:uid="{0862CC4C-25FB-45CA-8F59-EA58EDF92F2C}" uniqueName="6" name="CCSDS_SPARE" queryTableFieldId="6"/>
    <tableColumn id="7" xr3:uid="{1F791AAC-C7FC-487D-9286-41068E78081A}" uniqueName="7" name="GPS_WEEKS" queryTableFieldId="7"/>
    <tableColumn id="8" xr3:uid="{734627AF-226F-4D1C-B690-85A105718F57}" uniqueName="8" name="GPS_SECONDS" queryTableFieldId="8"/>
    <tableColumn id="9" xr3:uid="{BAF5D00F-25F9-492F-A340-2A4539BDE0AE}" uniqueName="9" name="GPS_FRAC_SECS" queryTableFieldId="9"/>
    <tableColumn id="10" xr3:uid="{83E00D23-22EB-4D22-95B0-E09A67CA4E7C}" uniqueName="10" name="ECEF_X" queryTableFieldId="10"/>
    <tableColumn id="11" xr3:uid="{E5E8ED87-0859-4FCD-AD79-81D6C19F5654}" uniqueName="11" name="ECEF_Y" queryTableFieldId="11"/>
    <tableColumn id="12" xr3:uid="{E47CE463-29E4-40C4-AE6E-058B5CC89870}" uniqueName="12" name="ECEF_Z" queryTableFieldId="12"/>
    <tableColumn id="13" xr3:uid="{1FA42814-254B-4CFF-B585-D28F980CAFE6}" uniqueName="13" name="VEL_X" queryTableFieldId="13"/>
    <tableColumn id="14" xr3:uid="{D43BE278-D438-46B3-8BAE-CFF851C2488F}" uniqueName="14" name="VEL_Y" queryTableFieldId="14"/>
    <tableColumn id="15" xr3:uid="{B35891A4-EFF7-4FF5-B9EE-ADBCF89329BA}" uniqueName="15" name="VEL_Z" queryTableFieldId="15"/>
    <tableColumn id="16" xr3:uid="{DC5EFB75-ED31-4979-A63B-E4E0CC8D2BF0}" uniqueName="16" name="LAT" queryTableFieldId="16"/>
    <tableColumn id="17" xr3:uid="{4E61BDD4-E4D8-4BDD-ABC1-2975A58E6D2E}" uniqueName="17" name="LON" queryTableFieldId="17"/>
    <tableColumn id="18" xr3:uid="{93FBE454-5100-434B-83E9-330B3BEB175A}" uniqueName="18" name="ALT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4B9EFF-96F6-450F-9025-CBE776BE6189}" name="generic_imu" displayName="generic_imu" ref="A1:L72" tableType="queryTable" totalsRowShown="0">
  <autoFilter ref="A1:L72" xr:uid="{454B9EFF-96F6-450F-9025-CBE776BE6189}"/>
  <tableColumns count="12">
    <tableColumn id="1" xr3:uid="{CA23C3EF-70D6-4F01-AE9F-4A542B139C39}" uniqueName="1" name="CCSDS_STREAMID" queryTableFieldId="1"/>
    <tableColumn id="2" xr3:uid="{62065C03-11C0-41DB-B3D8-9EFA0B828433}" uniqueName="2" name="CCSDS_SEQUENCE" queryTableFieldId="2"/>
    <tableColumn id="3" xr3:uid="{32061A4E-550D-4740-824F-A153C74E5138}" uniqueName="3" name="CCSDS_LENGTH" queryTableFieldId="3"/>
    <tableColumn id="4" xr3:uid="{8FE09905-DE5D-4081-BA1A-2569EBFAD21E}" uniqueName="4" name="CCSDS_SECONDS" queryTableFieldId="4"/>
    <tableColumn id="5" xr3:uid="{69079E18-19D9-48EF-B419-B9DE3E01553D}" uniqueName="5" name="CCSDS_SUBSECS" queryTableFieldId="5"/>
    <tableColumn id="6" xr3:uid="{66215E70-650E-4567-B101-03D4EA0533FC}" uniqueName="6" name="CCSDS_SPARE" queryTableFieldId="6"/>
    <tableColumn id="7" xr3:uid="{2CBDFB55-53E0-4C0C-AE62-89D891505DB3}" uniqueName="7" name="X_LINEAR_ACCELERATION" queryTableFieldId="7"/>
    <tableColumn id="8" xr3:uid="{3D12C334-9D06-4FD4-9C26-7BE3464AB8B6}" uniqueName="8" name="X_ANGULAR_RATE" queryTableFieldId="8"/>
    <tableColumn id="9" xr3:uid="{6A628E6E-99C8-43C7-B03F-A5051790093F}" uniqueName="9" name="Y_LINEAR_ACCELERATION" queryTableFieldId="9"/>
    <tableColumn id="10" xr3:uid="{B415D9C6-7743-42B2-997A-E08BA1207AB9}" uniqueName="10" name="Y_ANGULAR_RATE" queryTableFieldId="10"/>
    <tableColumn id="11" xr3:uid="{01B2658F-022B-4A0F-B1A5-B03A75D46FCF}" uniqueName="11" name="Z_LINEAR_ACCELERATION" queryTableFieldId="11"/>
    <tableColumn id="12" xr3:uid="{4251878D-CF04-4EED-8E0F-C6A0D94B8B69}" uniqueName="12" name="Z_ANGULAR_RATE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33FF2A-68B3-4366-8A3B-A323B0CEFF85}" name="COM6_2026_05_17_18_53_50_882_parsed" displayName="COM6_2026_05_17_18_53_50_882_parsed" ref="A1:P275" tableType="queryTable" totalsRowShown="0">
  <autoFilter ref="A1:P275" xr:uid="{D733FF2A-68B3-4366-8A3B-A323B0CEFF85}"/>
  <tableColumns count="16">
    <tableColumn id="1" xr3:uid="{1CDA077D-D969-44E6-BDC5-235A674D89A2}" uniqueName="1" name="sample_index" queryTableFieldId="1"/>
    <tableColumn id="2" xr3:uid="{55AACF08-A0DA-48CB-9465-9DC5FD8B75C9}" uniqueName="2" name="t" queryTableFieldId="2"/>
    <tableColumn id="3" xr3:uid="{3DE56909-909C-403C-8791-9769EFCE9921}" uniqueName="3" name="risk" queryTableFieldId="3"/>
    <tableColumn id="4" xr3:uid="{6D1BE97B-8492-4E89-902C-754B6DF1F210}" uniqueName="4" name="state" queryTableFieldId="4"/>
    <tableColumn id="5" xr3:uid="{F496C7FF-DA33-4D03-AD7F-90D847CC0103}" uniqueName="5" name="flags" queryTableFieldId="5" dataDxfId="1"/>
    <tableColumn id="6" xr3:uid="{299660F0-A892-4492-8B62-39761EDD839C}" uniqueName="6" name="flags_dec" queryTableFieldId="6"/>
    <tableColumn id="7" xr3:uid="{72EE029E-0715-440B-A7CD-B023318A3BDE}" uniqueName="7" name="time" queryTableFieldId="7"/>
    <tableColumn id="8" xr3:uid="{412853C5-592E-4B28-9632-25A8AB1A9F6B}" uniqueName="8" name="pos" queryTableFieldId="8"/>
    <tableColumn id="9" xr3:uid="{5697CF34-D29C-4110-BD03-BEEC33E8C977}" uniqueName="9" name="vel" queryTableFieldId="9"/>
    <tableColumn id="10" xr3:uid="{40A02ECF-A527-488B-BAFC-6E83F989D92E}" uniqueName="10" name="imu" queryTableFieldId="10"/>
    <tableColumn id="11" xr3:uid="{AD549EF2-B506-44D8-A2C2-FB921EF72745}" uniqueName="11" name="stale" queryTableFieldId="11"/>
    <tableColumn id="12" xr3:uid="{E767F71F-52B5-4764-9E30-1B372A372DBB}" uniqueName="12" name="heading" queryTableFieldId="12"/>
    <tableColumn id="13" xr3:uid="{675B1C56-73AC-487A-BBA3-913ABAF3BE16}" uniqueName="13" name="stationary" queryTableFieldId="13"/>
    <tableColumn id="14" xr3:uid="{62F63050-297C-46D4-921F-C4292869D579}" uniqueName="14" name="innovation" queryTableFieldId="14"/>
    <tableColumn id="15" xr3:uid="{6A9EF652-F943-4CEB-A573-DC9B310897B0}" uniqueName="15" name="rejected" queryTableFieldId="15"/>
    <tableColumn id="16" xr3:uid="{CC8D97AB-4BAB-4D0C-86E0-65F586C6486F}" uniqueName="16" name="raw_lin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AE9B-1002-4C9E-B1C9-46D074B681F7}">
  <dimension ref="A1:R278"/>
  <sheetViews>
    <sheetView workbookViewId="0">
      <selection activeCell="N8" sqref="N8"/>
    </sheetView>
  </sheetViews>
  <sheetFormatPr defaultRowHeight="15" x14ac:dyDescent="0.25"/>
  <cols>
    <col min="1" max="1" width="19.140625" bestFit="1" customWidth="1"/>
    <col min="2" max="2" width="19.5703125" bestFit="1" customWidth="1"/>
    <col min="3" max="3" width="17" bestFit="1" customWidth="1"/>
    <col min="4" max="4" width="18.28515625" bestFit="1" customWidth="1"/>
    <col min="5" max="5" width="17.7109375" bestFit="1" customWidth="1"/>
    <col min="6" max="6" width="15.5703125" bestFit="1" customWidth="1"/>
    <col min="7" max="7" width="14" bestFit="1" customWidth="1"/>
    <col min="8" max="8" width="16.28515625" bestFit="1" customWidth="1"/>
    <col min="9" max="9" width="17.7109375" bestFit="1" customWidth="1"/>
    <col min="10" max="11" width="9.5703125" bestFit="1" customWidth="1"/>
    <col min="12" max="12" width="9.7109375" customWidth="1"/>
    <col min="13" max="14" width="8.5703125" bestFit="1" customWidth="1"/>
    <col min="15" max="15" width="8.42578125" bestFit="1" customWidth="1"/>
    <col min="16" max="16" width="14.85546875" customWidth="1"/>
    <col min="17" max="17" width="12.7109375" bestFit="1" customWidth="1"/>
    <col min="18" max="18" width="12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</row>
    <row r="2" spans="1:18" x14ac:dyDescent="0.25">
      <c r="A2">
        <v>2161</v>
      </c>
      <c r="B2">
        <v>49344</v>
      </c>
      <c r="C2">
        <v>83</v>
      </c>
      <c r="D2">
        <v>63</v>
      </c>
      <c r="E2">
        <v>56360</v>
      </c>
      <c r="F2">
        <v>0</v>
      </c>
      <c r="G2">
        <v>341</v>
      </c>
      <c r="H2">
        <v>150282</v>
      </c>
      <c r="I2">
        <v>0.42199999999999999</v>
      </c>
      <c r="J2">
        <v>-2606000</v>
      </c>
      <c r="K2">
        <v>-6246000</v>
      </c>
      <c r="L2">
        <v>369700</v>
      </c>
      <c r="M2">
        <v>4036</v>
      </c>
      <c r="N2">
        <v>-1324</v>
      </c>
      <c r="O2">
        <v>6028</v>
      </c>
      <c r="P2">
        <v>2.5349731449999999</v>
      </c>
      <c r="Q2">
        <v>-113.07424159999999</v>
      </c>
      <c r="R2">
        <v>400027.96879999997</v>
      </c>
    </row>
    <row r="3" spans="1:18" x14ac:dyDescent="0.25">
      <c r="A3">
        <v>2161</v>
      </c>
      <c r="B3">
        <v>49345</v>
      </c>
      <c r="C3">
        <v>83</v>
      </c>
      <c r="D3">
        <v>64</v>
      </c>
      <c r="E3">
        <v>7208</v>
      </c>
      <c r="F3">
        <v>0</v>
      </c>
      <c r="G3">
        <v>341</v>
      </c>
      <c r="H3">
        <v>150282</v>
      </c>
      <c r="I3">
        <v>0.67200000000000004</v>
      </c>
      <c r="J3">
        <v>-2605000</v>
      </c>
      <c r="K3">
        <v>-6246000</v>
      </c>
      <c r="L3">
        <v>371200</v>
      </c>
      <c r="M3">
        <v>4037</v>
      </c>
      <c r="N3">
        <v>-1322</v>
      </c>
      <c r="O3">
        <v>6028</v>
      </c>
      <c r="P3">
        <v>2.5349731449999999</v>
      </c>
      <c r="Q3">
        <v>-113.07424159999999</v>
      </c>
      <c r="R3">
        <v>400027.96879999997</v>
      </c>
    </row>
    <row r="4" spans="1:18" x14ac:dyDescent="0.25">
      <c r="A4">
        <v>2161</v>
      </c>
      <c r="B4">
        <v>49346</v>
      </c>
      <c r="C4">
        <v>83</v>
      </c>
      <c r="D4">
        <v>64</v>
      </c>
      <c r="E4">
        <v>23592</v>
      </c>
      <c r="F4">
        <v>0</v>
      </c>
      <c r="G4">
        <v>341</v>
      </c>
      <c r="H4">
        <v>150282</v>
      </c>
      <c r="I4">
        <v>0.92200000000000004</v>
      </c>
      <c r="J4">
        <v>-2604000</v>
      </c>
      <c r="K4">
        <v>-6247000</v>
      </c>
      <c r="L4">
        <v>372700</v>
      </c>
      <c r="M4">
        <v>4038</v>
      </c>
      <c r="N4">
        <v>-1320</v>
      </c>
      <c r="O4">
        <v>6028</v>
      </c>
      <c r="P4">
        <v>2.5349731449999999</v>
      </c>
      <c r="Q4">
        <v>-113.07424159999999</v>
      </c>
      <c r="R4">
        <v>400027.96879999997</v>
      </c>
    </row>
    <row r="5" spans="1:18" x14ac:dyDescent="0.25">
      <c r="A5">
        <v>2161</v>
      </c>
      <c r="B5">
        <v>49347</v>
      </c>
      <c r="C5">
        <v>83</v>
      </c>
      <c r="D5">
        <v>64</v>
      </c>
      <c r="E5">
        <v>39976</v>
      </c>
      <c r="F5">
        <v>0</v>
      </c>
      <c r="G5">
        <v>341</v>
      </c>
      <c r="H5">
        <v>150283</v>
      </c>
      <c r="I5">
        <v>0.17199999999999999</v>
      </c>
      <c r="J5">
        <v>-2603000</v>
      </c>
      <c r="K5">
        <v>-6247000</v>
      </c>
      <c r="L5">
        <v>374200</v>
      </c>
      <c r="M5">
        <v>4039</v>
      </c>
      <c r="N5">
        <v>-1318</v>
      </c>
      <c r="O5">
        <v>6028</v>
      </c>
      <c r="P5">
        <v>2.5349731449999999</v>
      </c>
      <c r="Q5">
        <v>-113.07424159999999</v>
      </c>
      <c r="R5">
        <v>400027.96879999997</v>
      </c>
    </row>
    <row r="6" spans="1:18" x14ac:dyDescent="0.25">
      <c r="A6">
        <v>2161</v>
      </c>
      <c r="B6">
        <v>49348</v>
      </c>
      <c r="C6">
        <v>83</v>
      </c>
      <c r="D6">
        <v>64</v>
      </c>
      <c r="E6">
        <v>56360</v>
      </c>
      <c r="F6">
        <v>0</v>
      </c>
      <c r="G6">
        <v>341</v>
      </c>
      <c r="H6">
        <v>150283</v>
      </c>
      <c r="I6">
        <v>0.42199999999999999</v>
      </c>
      <c r="J6">
        <v>-2602000</v>
      </c>
      <c r="K6">
        <v>-6247000</v>
      </c>
      <c r="L6">
        <v>375700</v>
      </c>
      <c r="M6">
        <v>4040</v>
      </c>
      <c r="N6">
        <v>-1317</v>
      </c>
      <c r="O6">
        <v>6028</v>
      </c>
      <c r="P6">
        <v>2.5349731449999999</v>
      </c>
      <c r="Q6">
        <v>-113.07424159999999</v>
      </c>
      <c r="R6">
        <v>400027.96879999997</v>
      </c>
    </row>
    <row r="7" spans="1:18" x14ac:dyDescent="0.25">
      <c r="A7">
        <v>2161</v>
      </c>
      <c r="B7">
        <v>49349</v>
      </c>
      <c r="C7">
        <v>83</v>
      </c>
      <c r="D7">
        <v>65</v>
      </c>
      <c r="E7">
        <v>7208</v>
      </c>
      <c r="F7">
        <v>0</v>
      </c>
      <c r="G7">
        <v>341</v>
      </c>
      <c r="H7">
        <v>150283</v>
      </c>
      <c r="I7">
        <v>0.67200000000000004</v>
      </c>
      <c r="J7">
        <v>-2601000</v>
      </c>
      <c r="K7">
        <v>-6248000</v>
      </c>
      <c r="L7">
        <v>377200</v>
      </c>
      <c r="M7">
        <v>4040</v>
      </c>
      <c r="N7">
        <v>-1315</v>
      </c>
      <c r="O7">
        <v>6028</v>
      </c>
      <c r="P7">
        <v>2.5349731449999999</v>
      </c>
      <c r="Q7">
        <v>-113.07424159999999</v>
      </c>
      <c r="R7">
        <v>400027.96879999997</v>
      </c>
    </row>
    <row r="8" spans="1:18" x14ac:dyDescent="0.25">
      <c r="A8">
        <v>2161</v>
      </c>
      <c r="B8">
        <v>49350</v>
      </c>
      <c r="C8">
        <v>83</v>
      </c>
      <c r="D8">
        <v>65</v>
      </c>
      <c r="E8">
        <v>23592</v>
      </c>
      <c r="F8">
        <v>0</v>
      </c>
      <c r="G8">
        <v>341</v>
      </c>
      <c r="H8">
        <v>150283</v>
      </c>
      <c r="I8">
        <v>0.92200000000000004</v>
      </c>
      <c r="J8">
        <v>-2600000</v>
      </c>
      <c r="K8">
        <v>-6248000</v>
      </c>
      <c r="L8">
        <v>378700</v>
      </c>
      <c r="M8">
        <v>4041</v>
      </c>
      <c r="N8">
        <v>-1313</v>
      </c>
      <c r="O8">
        <v>6027</v>
      </c>
      <c r="P8">
        <v>2.5349731449999999</v>
      </c>
      <c r="Q8">
        <v>-113.07424159999999</v>
      </c>
      <c r="R8">
        <v>400027.96879999997</v>
      </c>
    </row>
    <row r="9" spans="1:18" x14ac:dyDescent="0.25">
      <c r="A9">
        <v>2161</v>
      </c>
      <c r="B9">
        <v>49351</v>
      </c>
      <c r="C9">
        <v>83</v>
      </c>
      <c r="D9">
        <v>65</v>
      </c>
      <c r="E9">
        <v>39976</v>
      </c>
      <c r="F9">
        <v>0</v>
      </c>
      <c r="G9">
        <v>341</v>
      </c>
      <c r="H9">
        <v>150284</v>
      </c>
      <c r="I9">
        <v>0.17199999999999999</v>
      </c>
      <c r="J9">
        <v>-2599000</v>
      </c>
      <c r="K9">
        <v>-6248000</v>
      </c>
      <c r="L9">
        <v>380200</v>
      </c>
      <c r="M9">
        <v>4042</v>
      </c>
      <c r="N9">
        <v>-1311</v>
      </c>
      <c r="O9">
        <v>6027</v>
      </c>
      <c r="P9">
        <v>2.5349731449999999</v>
      </c>
      <c r="Q9">
        <v>-113.07424159999999</v>
      </c>
      <c r="R9">
        <v>400027.96879999997</v>
      </c>
    </row>
    <row r="10" spans="1:18" x14ac:dyDescent="0.25">
      <c r="A10">
        <v>2161</v>
      </c>
      <c r="B10">
        <v>49352</v>
      </c>
      <c r="C10">
        <v>83</v>
      </c>
      <c r="D10">
        <v>65</v>
      </c>
      <c r="E10">
        <v>56360</v>
      </c>
      <c r="F10">
        <v>0</v>
      </c>
      <c r="G10">
        <v>341</v>
      </c>
      <c r="H10">
        <v>150284</v>
      </c>
      <c r="I10">
        <v>0.42199999999999999</v>
      </c>
      <c r="J10">
        <v>-2598000</v>
      </c>
      <c r="K10">
        <v>-6249000</v>
      </c>
      <c r="L10">
        <v>381700</v>
      </c>
      <c r="M10">
        <v>4043</v>
      </c>
      <c r="N10">
        <v>-1309</v>
      </c>
      <c r="O10">
        <v>6027</v>
      </c>
      <c r="P10">
        <v>2.5349731449999999</v>
      </c>
      <c r="Q10">
        <v>-113.07424159999999</v>
      </c>
      <c r="R10">
        <v>400027.96879999997</v>
      </c>
    </row>
    <row r="11" spans="1:18" x14ac:dyDescent="0.25">
      <c r="A11">
        <v>2161</v>
      </c>
      <c r="B11">
        <v>49353</v>
      </c>
      <c r="C11">
        <v>83</v>
      </c>
      <c r="D11">
        <v>66</v>
      </c>
      <c r="E11">
        <v>7208</v>
      </c>
      <c r="F11">
        <v>0</v>
      </c>
      <c r="G11">
        <v>341</v>
      </c>
      <c r="H11">
        <v>150284</v>
      </c>
      <c r="I11">
        <v>0.67200000000000004</v>
      </c>
      <c r="J11">
        <v>-2597000</v>
      </c>
      <c r="K11">
        <v>-6249000</v>
      </c>
      <c r="L11">
        <v>383200</v>
      </c>
      <c r="M11">
        <v>4043</v>
      </c>
      <c r="N11">
        <v>-1307</v>
      </c>
      <c r="O11">
        <v>6027</v>
      </c>
      <c r="P11">
        <v>2.5349731449999999</v>
      </c>
      <c r="Q11">
        <v>-113.07424159999999</v>
      </c>
      <c r="R11">
        <v>400027.96879999997</v>
      </c>
    </row>
    <row r="12" spans="1:18" x14ac:dyDescent="0.25">
      <c r="A12">
        <v>2161</v>
      </c>
      <c r="B12">
        <v>49354</v>
      </c>
      <c r="C12">
        <v>83</v>
      </c>
      <c r="D12">
        <v>66</v>
      </c>
      <c r="E12">
        <v>23592</v>
      </c>
      <c r="F12">
        <v>0</v>
      </c>
      <c r="G12">
        <v>341</v>
      </c>
      <c r="H12">
        <v>150284</v>
      </c>
      <c r="I12">
        <v>0.92200000000000004</v>
      </c>
      <c r="J12">
        <v>-2596000</v>
      </c>
      <c r="K12">
        <v>-6249000</v>
      </c>
      <c r="L12">
        <v>384700</v>
      </c>
      <c r="M12">
        <v>4044</v>
      </c>
      <c r="N12">
        <v>-1306</v>
      </c>
      <c r="O12">
        <v>6027</v>
      </c>
      <c r="P12">
        <v>2.5349731449999999</v>
      </c>
      <c r="Q12">
        <v>-113.07424159999999</v>
      </c>
      <c r="R12">
        <v>400027.96879999997</v>
      </c>
    </row>
    <row r="13" spans="1:18" x14ac:dyDescent="0.25">
      <c r="A13">
        <v>2161</v>
      </c>
      <c r="B13">
        <v>49355</v>
      </c>
      <c r="C13">
        <v>83</v>
      </c>
      <c r="D13">
        <v>66</v>
      </c>
      <c r="E13">
        <v>39976</v>
      </c>
      <c r="F13">
        <v>0</v>
      </c>
      <c r="G13">
        <v>341</v>
      </c>
      <c r="H13">
        <v>150285</v>
      </c>
      <c r="I13">
        <v>0.17199999999999999</v>
      </c>
      <c r="J13">
        <v>-2595000</v>
      </c>
      <c r="K13">
        <v>-6250000</v>
      </c>
      <c r="L13">
        <v>386100</v>
      </c>
      <c r="M13">
        <v>4045</v>
      </c>
      <c r="N13">
        <v>-1304</v>
      </c>
      <c r="O13">
        <v>6027</v>
      </c>
      <c r="P13">
        <v>2.5349731449999999</v>
      </c>
      <c r="Q13">
        <v>-113.07424159999999</v>
      </c>
      <c r="R13">
        <v>400027.96879999997</v>
      </c>
    </row>
    <row r="14" spans="1:18" x14ac:dyDescent="0.25">
      <c r="A14">
        <v>2161</v>
      </c>
      <c r="B14">
        <v>49356</v>
      </c>
      <c r="C14">
        <v>83</v>
      </c>
      <c r="D14">
        <v>66</v>
      </c>
      <c r="E14">
        <v>56360</v>
      </c>
      <c r="F14">
        <v>0</v>
      </c>
      <c r="G14">
        <v>341</v>
      </c>
      <c r="H14">
        <v>150285</v>
      </c>
      <c r="I14">
        <v>0.42199999999999999</v>
      </c>
      <c r="J14">
        <v>-2594000</v>
      </c>
      <c r="K14">
        <v>-6250000</v>
      </c>
      <c r="L14">
        <v>387600</v>
      </c>
      <c r="M14">
        <v>4046</v>
      </c>
      <c r="N14">
        <v>-1302</v>
      </c>
      <c r="O14">
        <v>6027</v>
      </c>
      <c r="P14">
        <v>2.5349731449999999</v>
      </c>
      <c r="Q14">
        <v>-113.07424159999999</v>
      </c>
      <c r="R14">
        <v>400027.96879999997</v>
      </c>
    </row>
    <row r="15" spans="1:18" x14ac:dyDescent="0.25">
      <c r="A15">
        <v>2161</v>
      </c>
      <c r="B15">
        <v>49357</v>
      </c>
      <c r="C15">
        <v>83</v>
      </c>
      <c r="D15">
        <v>67</v>
      </c>
      <c r="E15">
        <v>7208</v>
      </c>
      <c r="F15">
        <v>0</v>
      </c>
      <c r="G15">
        <v>341</v>
      </c>
      <c r="H15">
        <v>150285</v>
      </c>
      <c r="I15">
        <v>0.67200000000000004</v>
      </c>
      <c r="J15">
        <v>-2593000</v>
      </c>
      <c r="K15">
        <v>-6250000</v>
      </c>
      <c r="L15">
        <v>389100</v>
      </c>
      <c r="M15">
        <v>4047</v>
      </c>
      <c r="N15">
        <v>-1300</v>
      </c>
      <c r="O15">
        <v>6027</v>
      </c>
      <c r="P15">
        <v>2.5349731449999999</v>
      </c>
      <c r="Q15">
        <v>-113.07424159999999</v>
      </c>
      <c r="R15">
        <v>400027.96879999997</v>
      </c>
    </row>
    <row r="16" spans="1:18" x14ac:dyDescent="0.25">
      <c r="A16">
        <v>2161</v>
      </c>
      <c r="B16">
        <v>49358</v>
      </c>
      <c r="C16">
        <v>83</v>
      </c>
      <c r="D16">
        <v>67</v>
      </c>
      <c r="E16">
        <v>23592</v>
      </c>
      <c r="F16">
        <v>0</v>
      </c>
      <c r="G16">
        <v>341</v>
      </c>
      <c r="H16">
        <v>150285</v>
      </c>
      <c r="I16">
        <v>0.92200000000000004</v>
      </c>
      <c r="J16">
        <v>-2592000</v>
      </c>
      <c r="K16">
        <v>-6251000</v>
      </c>
      <c r="L16">
        <v>390600</v>
      </c>
      <c r="M16">
        <v>4047</v>
      </c>
      <c r="N16">
        <v>-1298</v>
      </c>
      <c r="O16">
        <v>6026</v>
      </c>
      <c r="P16">
        <v>2.5349731449999999</v>
      </c>
      <c r="Q16">
        <v>-113.07424159999999</v>
      </c>
      <c r="R16">
        <v>400027.96879999997</v>
      </c>
    </row>
    <row r="17" spans="1:18" x14ac:dyDescent="0.25">
      <c r="A17">
        <v>2161</v>
      </c>
      <c r="B17">
        <v>49359</v>
      </c>
      <c r="C17">
        <v>83</v>
      </c>
      <c r="D17">
        <v>67</v>
      </c>
      <c r="E17">
        <v>39976</v>
      </c>
      <c r="F17">
        <v>0</v>
      </c>
      <c r="G17">
        <v>341</v>
      </c>
      <c r="H17">
        <v>150286</v>
      </c>
      <c r="I17">
        <v>0.17199999999999999</v>
      </c>
      <c r="J17">
        <v>-2591000</v>
      </c>
      <c r="K17">
        <v>-6251000</v>
      </c>
      <c r="L17">
        <v>392100</v>
      </c>
      <c r="M17">
        <v>4048</v>
      </c>
      <c r="N17">
        <v>-1296</v>
      </c>
      <c r="O17">
        <v>6026</v>
      </c>
      <c r="P17">
        <v>2.5349731449999999</v>
      </c>
      <c r="Q17">
        <v>-113.07424159999999</v>
      </c>
      <c r="R17">
        <v>400027.96879999997</v>
      </c>
    </row>
    <row r="18" spans="1:18" x14ac:dyDescent="0.25">
      <c r="A18">
        <v>2161</v>
      </c>
      <c r="B18">
        <v>49360</v>
      </c>
      <c r="C18">
        <v>83</v>
      </c>
      <c r="D18">
        <v>67</v>
      </c>
      <c r="E18">
        <v>56360</v>
      </c>
      <c r="F18">
        <v>0</v>
      </c>
      <c r="G18">
        <v>341</v>
      </c>
      <c r="H18">
        <v>150286</v>
      </c>
      <c r="I18">
        <v>0.42199999999999999</v>
      </c>
      <c r="J18">
        <v>-2590000</v>
      </c>
      <c r="K18">
        <v>-6251000</v>
      </c>
      <c r="L18">
        <v>393600</v>
      </c>
      <c r="M18">
        <v>4049</v>
      </c>
      <c r="N18">
        <v>-1294</v>
      </c>
      <c r="O18">
        <v>6026</v>
      </c>
      <c r="P18">
        <v>2.5349731449999999</v>
      </c>
      <c r="Q18">
        <v>-113.07424159999999</v>
      </c>
      <c r="R18">
        <v>400027.96879999997</v>
      </c>
    </row>
    <row r="19" spans="1:18" x14ac:dyDescent="0.25">
      <c r="A19">
        <v>2161</v>
      </c>
      <c r="B19">
        <v>49361</v>
      </c>
      <c r="C19">
        <v>83</v>
      </c>
      <c r="D19">
        <v>68</v>
      </c>
      <c r="E19">
        <v>7208</v>
      </c>
      <c r="F19">
        <v>0</v>
      </c>
      <c r="G19">
        <v>341</v>
      </c>
      <c r="H19">
        <v>150286</v>
      </c>
      <c r="I19">
        <v>0.67200000000000004</v>
      </c>
      <c r="J19">
        <v>-2589000</v>
      </c>
      <c r="K19">
        <v>-6252000</v>
      </c>
      <c r="L19">
        <v>395100</v>
      </c>
      <c r="M19">
        <v>4050</v>
      </c>
      <c r="N19">
        <v>-1293</v>
      </c>
      <c r="O19">
        <v>6026</v>
      </c>
      <c r="P19">
        <v>2.5349731449999999</v>
      </c>
      <c r="Q19">
        <v>-113.07424159999999</v>
      </c>
      <c r="R19">
        <v>400027.96879999997</v>
      </c>
    </row>
    <row r="20" spans="1:18" x14ac:dyDescent="0.25">
      <c r="A20">
        <v>2161</v>
      </c>
      <c r="B20">
        <v>49362</v>
      </c>
      <c r="C20">
        <v>83</v>
      </c>
      <c r="D20">
        <v>68</v>
      </c>
      <c r="E20">
        <v>23592</v>
      </c>
      <c r="F20">
        <v>0</v>
      </c>
      <c r="G20">
        <v>341</v>
      </c>
      <c r="H20">
        <v>150286</v>
      </c>
      <c r="I20">
        <v>0.92200000000000004</v>
      </c>
      <c r="J20">
        <v>-2588000</v>
      </c>
      <c r="K20">
        <v>-6252000</v>
      </c>
      <c r="L20">
        <v>396600</v>
      </c>
      <c r="M20">
        <v>4050</v>
      </c>
      <c r="N20">
        <v>-1291</v>
      </c>
      <c r="O20">
        <v>6026</v>
      </c>
      <c r="P20">
        <v>2.5349731449999999</v>
      </c>
      <c r="Q20">
        <v>-113.07424159999999</v>
      </c>
      <c r="R20">
        <v>400027.96879999997</v>
      </c>
    </row>
    <row r="21" spans="1:18" x14ac:dyDescent="0.25">
      <c r="A21">
        <v>2161</v>
      </c>
      <c r="B21">
        <v>49363</v>
      </c>
      <c r="C21">
        <v>83</v>
      </c>
      <c r="D21">
        <v>68</v>
      </c>
      <c r="E21">
        <v>39976</v>
      </c>
      <c r="F21">
        <v>0</v>
      </c>
      <c r="G21">
        <v>341</v>
      </c>
      <c r="H21">
        <v>150287</v>
      </c>
      <c r="I21">
        <v>0.17199999999999999</v>
      </c>
      <c r="J21">
        <v>-2587000</v>
      </c>
      <c r="K21">
        <v>-6252000</v>
      </c>
      <c r="L21">
        <v>398100</v>
      </c>
      <c r="M21">
        <v>4051</v>
      </c>
      <c r="N21">
        <v>-1289</v>
      </c>
      <c r="O21">
        <v>6026</v>
      </c>
      <c r="P21">
        <v>2.5349731449999999</v>
      </c>
      <c r="Q21">
        <v>-113.07424159999999</v>
      </c>
      <c r="R21">
        <v>400027.96879999997</v>
      </c>
    </row>
    <row r="22" spans="1:18" x14ac:dyDescent="0.25">
      <c r="A22">
        <v>2161</v>
      </c>
      <c r="B22">
        <v>49364</v>
      </c>
      <c r="C22">
        <v>83</v>
      </c>
      <c r="D22">
        <v>68</v>
      </c>
      <c r="E22">
        <v>56360</v>
      </c>
      <c r="F22">
        <v>0</v>
      </c>
      <c r="G22">
        <v>341</v>
      </c>
      <c r="H22">
        <v>150287</v>
      </c>
      <c r="I22">
        <v>0.42199999999999999</v>
      </c>
      <c r="J22">
        <v>-2586000</v>
      </c>
      <c r="K22">
        <v>-6253000</v>
      </c>
      <c r="L22">
        <v>399600</v>
      </c>
      <c r="M22">
        <v>4052</v>
      </c>
      <c r="N22">
        <v>-1287</v>
      </c>
      <c r="O22">
        <v>6026</v>
      </c>
      <c r="P22">
        <v>2.5349731449999999</v>
      </c>
      <c r="Q22">
        <v>-113.07424159999999</v>
      </c>
      <c r="R22">
        <v>400027.96879999997</v>
      </c>
    </row>
    <row r="23" spans="1:18" x14ac:dyDescent="0.25">
      <c r="A23">
        <v>2161</v>
      </c>
      <c r="B23">
        <v>49365</v>
      </c>
      <c r="C23">
        <v>83</v>
      </c>
      <c r="D23">
        <v>69</v>
      </c>
      <c r="E23">
        <v>7208</v>
      </c>
      <c r="F23">
        <v>0</v>
      </c>
      <c r="G23">
        <v>341</v>
      </c>
      <c r="H23">
        <v>150287</v>
      </c>
      <c r="I23">
        <v>0.67200000000000004</v>
      </c>
      <c r="J23">
        <v>-2585000</v>
      </c>
      <c r="K23">
        <v>-6253000</v>
      </c>
      <c r="L23">
        <v>401100</v>
      </c>
      <c r="M23">
        <v>4053</v>
      </c>
      <c r="N23">
        <v>-1285</v>
      </c>
      <c r="O23">
        <v>6026</v>
      </c>
      <c r="P23">
        <v>2.5349731449999999</v>
      </c>
      <c r="Q23">
        <v>-113.07424159999999</v>
      </c>
      <c r="R23">
        <v>400027.96879999997</v>
      </c>
    </row>
    <row r="24" spans="1:18" x14ac:dyDescent="0.25">
      <c r="A24">
        <v>2161</v>
      </c>
      <c r="B24">
        <v>49366</v>
      </c>
      <c r="C24">
        <v>83</v>
      </c>
      <c r="D24">
        <v>69</v>
      </c>
      <c r="E24">
        <v>24248</v>
      </c>
      <c r="F24">
        <v>0</v>
      </c>
      <c r="G24">
        <v>341</v>
      </c>
      <c r="H24">
        <v>150287</v>
      </c>
      <c r="I24">
        <v>0.92200000000000004</v>
      </c>
      <c r="J24">
        <v>-2584000</v>
      </c>
      <c r="K24">
        <v>-6253000</v>
      </c>
      <c r="L24">
        <v>402600</v>
      </c>
      <c r="M24">
        <v>4054</v>
      </c>
      <c r="N24">
        <v>-1283</v>
      </c>
      <c r="O24">
        <v>6025</v>
      </c>
      <c r="P24">
        <v>2.5349731449999999</v>
      </c>
      <c r="Q24">
        <v>-113.07424159999999</v>
      </c>
      <c r="R24">
        <v>400027.96879999997</v>
      </c>
    </row>
    <row r="25" spans="1:18" x14ac:dyDescent="0.25">
      <c r="A25">
        <v>2161</v>
      </c>
      <c r="B25">
        <v>49367</v>
      </c>
      <c r="C25">
        <v>83</v>
      </c>
      <c r="D25">
        <v>69</v>
      </c>
      <c r="E25">
        <v>40632</v>
      </c>
      <c r="F25">
        <v>0</v>
      </c>
      <c r="G25">
        <v>341</v>
      </c>
      <c r="H25">
        <v>150288</v>
      </c>
      <c r="I25">
        <v>0.17199999999999999</v>
      </c>
      <c r="J25">
        <v>-2583000</v>
      </c>
      <c r="K25">
        <v>-6254000</v>
      </c>
      <c r="L25">
        <v>404100</v>
      </c>
      <c r="M25">
        <v>4054</v>
      </c>
      <c r="N25">
        <v>-1282</v>
      </c>
      <c r="O25">
        <v>6025</v>
      </c>
      <c r="P25">
        <v>2.5349731449999999</v>
      </c>
      <c r="Q25">
        <v>-113.07424159999999</v>
      </c>
      <c r="R25">
        <v>400027.96879999997</v>
      </c>
    </row>
    <row r="26" spans="1:18" x14ac:dyDescent="0.25">
      <c r="A26">
        <v>2161</v>
      </c>
      <c r="B26">
        <v>49368</v>
      </c>
      <c r="C26">
        <v>83</v>
      </c>
      <c r="D26">
        <v>69</v>
      </c>
      <c r="E26">
        <v>57016</v>
      </c>
      <c r="F26">
        <v>0</v>
      </c>
      <c r="G26">
        <v>341</v>
      </c>
      <c r="H26">
        <v>150288</v>
      </c>
      <c r="I26">
        <v>0.42199999999999999</v>
      </c>
      <c r="J26">
        <v>-2582000</v>
      </c>
      <c r="K26">
        <v>-6254000</v>
      </c>
      <c r="L26">
        <v>405600</v>
      </c>
      <c r="M26">
        <v>4055</v>
      </c>
      <c r="N26">
        <v>-1280</v>
      </c>
      <c r="O26">
        <v>6025</v>
      </c>
      <c r="P26">
        <v>2.5349731449999999</v>
      </c>
      <c r="Q26">
        <v>-113.07424159999999</v>
      </c>
      <c r="R26">
        <v>400027.96879999997</v>
      </c>
    </row>
    <row r="27" spans="1:18" x14ac:dyDescent="0.25">
      <c r="A27">
        <v>2161</v>
      </c>
      <c r="B27">
        <v>49369</v>
      </c>
      <c r="C27">
        <v>83</v>
      </c>
      <c r="D27">
        <v>70</v>
      </c>
      <c r="E27">
        <v>24248</v>
      </c>
      <c r="F27">
        <v>0</v>
      </c>
      <c r="G27">
        <v>341</v>
      </c>
      <c r="H27">
        <v>150288</v>
      </c>
      <c r="I27">
        <v>0.92200000000000004</v>
      </c>
      <c r="J27">
        <v>-2580000</v>
      </c>
      <c r="K27">
        <v>-6254000</v>
      </c>
      <c r="L27">
        <v>408600</v>
      </c>
      <c r="M27">
        <v>4057</v>
      </c>
      <c r="N27">
        <v>-1276</v>
      </c>
      <c r="O27">
        <v>6025</v>
      </c>
      <c r="P27">
        <v>2.5349731449999999</v>
      </c>
      <c r="Q27">
        <v>-113.07424159999999</v>
      </c>
      <c r="R27">
        <v>400027.96879999997</v>
      </c>
    </row>
    <row r="28" spans="1:18" x14ac:dyDescent="0.25">
      <c r="A28">
        <v>2161</v>
      </c>
      <c r="B28">
        <v>49370</v>
      </c>
      <c r="C28">
        <v>83</v>
      </c>
      <c r="D28">
        <v>70</v>
      </c>
      <c r="E28">
        <v>40632</v>
      </c>
      <c r="F28">
        <v>0</v>
      </c>
      <c r="G28">
        <v>341</v>
      </c>
      <c r="H28">
        <v>150289</v>
      </c>
      <c r="I28">
        <v>0.17199999999999999</v>
      </c>
      <c r="J28">
        <v>-2579000</v>
      </c>
      <c r="K28">
        <v>-6255000</v>
      </c>
      <c r="L28">
        <v>410100</v>
      </c>
      <c r="M28">
        <v>4057</v>
      </c>
      <c r="N28">
        <v>-1274</v>
      </c>
      <c r="O28">
        <v>6025</v>
      </c>
      <c r="P28">
        <v>2.5349731449999999</v>
      </c>
      <c r="Q28">
        <v>-113.07424159999999</v>
      </c>
      <c r="R28">
        <v>400027.96879999997</v>
      </c>
    </row>
    <row r="29" spans="1:18" x14ac:dyDescent="0.25">
      <c r="A29">
        <v>2161</v>
      </c>
      <c r="B29">
        <v>49371</v>
      </c>
      <c r="C29">
        <v>83</v>
      </c>
      <c r="D29">
        <v>70</v>
      </c>
      <c r="E29">
        <v>57016</v>
      </c>
      <c r="F29">
        <v>0</v>
      </c>
      <c r="G29">
        <v>341</v>
      </c>
      <c r="H29">
        <v>150289</v>
      </c>
      <c r="I29">
        <v>0.42199999999999999</v>
      </c>
      <c r="J29">
        <v>-2578000</v>
      </c>
      <c r="K29">
        <v>-6255000</v>
      </c>
      <c r="L29">
        <v>411600</v>
      </c>
      <c r="M29">
        <v>4058</v>
      </c>
      <c r="N29">
        <v>-1272</v>
      </c>
      <c r="O29">
        <v>6025</v>
      </c>
      <c r="P29">
        <v>2.5349731449999999</v>
      </c>
      <c r="Q29">
        <v>-113.07424159999999</v>
      </c>
      <c r="R29">
        <v>400027.96879999997</v>
      </c>
    </row>
    <row r="30" spans="1:18" x14ac:dyDescent="0.25">
      <c r="A30">
        <v>2161</v>
      </c>
      <c r="B30">
        <v>49372</v>
      </c>
      <c r="C30">
        <v>83</v>
      </c>
      <c r="D30">
        <v>71</v>
      </c>
      <c r="E30">
        <v>7864</v>
      </c>
      <c r="F30">
        <v>0</v>
      </c>
      <c r="G30">
        <v>341</v>
      </c>
      <c r="H30">
        <v>150289</v>
      </c>
      <c r="I30">
        <v>0.67200000000000004</v>
      </c>
      <c r="J30">
        <v>-2577000</v>
      </c>
      <c r="K30">
        <v>-6255000</v>
      </c>
      <c r="L30">
        <v>413100</v>
      </c>
      <c r="M30">
        <v>4059</v>
      </c>
      <c r="N30">
        <v>-1270</v>
      </c>
      <c r="O30">
        <v>6025</v>
      </c>
      <c r="P30">
        <v>2.5349731449999999</v>
      </c>
      <c r="Q30">
        <v>-113.07424159999999</v>
      </c>
      <c r="R30">
        <v>400027.96879999997</v>
      </c>
    </row>
    <row r="31" spans="1:18" x14ac:dyDescent="0.25">
      <c r="A31">
        <v>2161</v>
      </c>
      <c r="B31">
        <v>49373</v>
      </c>
      <c r="C31">
        <v>83</v>
      </c>
      <c r="D31">
        <v>71</v>
      </c>
      <c r="E31">
        <v>24248</v>
      </c>
      <c r="F31">
        <v>0</v>
      </c>
      <c r="G31">
        <v>341</v>
      </c>
      <c r="H31">
        <v>150289</v>
      </c>
      <c r="I31">
        <v>0.92200000000000004</v>
      </c>
      <c r="J31">
        <v>-2576000</v>
      </c>
      <c r="K31">
        <v>-6256000</v>
      </c>
      <c r="L31">
        <v>414600</v>
      </c>
      <c r="M31">
        <v>4060</v>
      </c>
      <c r="N31">
        <v>-1269</v>
      </c>
      <c r="O31">
        <v>6024</v>
      </c>
      <c r="P31">
        <v>2.5349731449999999</v>
      </c>
      <c r="Q31">
        <v>-113.07424159999999</v>
      </c>
      <c r="R31">
        <v>400027.96879999997</v>
      </c>
    </row>
    <row r="32" spans="1:18" x14ac:dyDescent="0.25">
      <c r="A32">
        <v>2161</v>
      </c>
      <c r="B32">
        <v>49374</v>
      </c>
      <c r="C32">
        <v>83</v>
      </c>
      <c r="D32">
        <v>71</v>
      </c>
      <c r="E32">
        <v>40632</v>
      </c>
      <c r="F32">
        <v>0</v>
      </c>
      <c r="G32">
        <v>341</v>
      </c>
      <c r="H32">
        <v>150290</v>
      </c>
      <c r="I32">
        <v>0.17199999999999999</v>
      </c>
      <c r="J32">
        <v>-2575000</v>
      </c>
      <c r="K32">
        <v>-6256000</v>
      </c>
      <c r="L32">
        <v>416000</v>
      </c>
      <c r="M32">
        <v>4061</v>
      </c>
      <c r="N32">
        <v>-1267</v>
      </c>
      <c r="O32">
        <v>6024</v>
      </c>
      <c r="P32">
        <v>2.5349731449999999</v>
      </c>
      <c r="Q32">
        <v>-113.07424159999999</v>
      </c>
      <c r="R32">
        <v>400027.96879999997</v>
      </c>
    </row>
    <row r="33" spans="1:18" x14ac:dyDescent="0.25">
      <c r="A33">
        <v>2161</v>
      </c>
      <c r="B33">
        <v>49375</v>
      </c>
      <c r="C33">
        <v>83</v>
      </c>
      <c r="D33">
        <v>71</v>
      </c>
      <c r="E33">
        <v>57016</v>
      </c>
      <c r="F33">
        <v>0</v>
      </c>
      <c r="G33">
        <v>341</v>
      </c>
      <c r="H33">
        <v>150290</v>
      </c>
      <c r="I33">
        <v>0.42199999999999999</v>
      </c>
      <c r="J33">
        <v>-2574000</v>
      </c>
      <c r="K33">
        <v>-6256000</v>
      </c>
      <c r="L33">
        <v>417500</v>
      </c>
      <c r="M33">
        <v>4061</v>
      </c>
      <c r="N33">
        <v>-1265</v>
      </c>
      <c r="O33">
        <v>6024</v>
      </c>
      <c r="P33">
        <v>2.5349731449999999</v>
      </c>
      <c r="Q33">
        <v>-113.07424159999999</v>
      </c>
      <c r="R33">
        <v>400027.96879999997</v>
      </c>
    </row>
    <row r="34" spans="1:18" x14ac:dyDescent="0.25">
      <c r="A34">
        <v>2161</v>
      </c>
      <c r="B34">
        <v>49376</v>
      </c>
      <c r="C34">
        <v>83</v>
      </c>
      <c r="D34">
        <v>72</v>
      </c>
      <c r="E34">
        <v>7864</v>
      </c>
      <c r="F34">
        <v>0</v>
      </c>
      <c r="G34">
        <v>341</v>
      </c>
      <c r="H34">
        <v>150290</v>
      </c>
      <c r="I34">
        <v>0.67200000000000004</v>
      </c>
      <c r="J34">
        <v>-2573000</v>
      </c>
      <c r="K34">
        <v>-6257000</v>
      </c>
      <c r="L34">
        <v>419000</v>
      </c>
      <c r="M34">
        <v>4062</v>
      </c>
      <c r="N34">
        <v>-1263</v>
      </c>
      <c r="O34">
        <v>6024</v>
      </c>
      <c r="P34">
        <v>2.5349731449999999</v>
      </c>
      <c r="Q34">
        <v>-113.07424159999999</v>
      </c>
      <c r="R34">
        <v>400027.96879999997</v>
      </c>
    </row>
    <row r="35" spans="1:18" x14ac:dyDescent="0.25">
      <c r="A35">
        <v>2161</v>
      </c>
      <c r="B35">
        <v>49377</v>
      </c>
      <c r="C35">
        <v>83</v>
      </c>
      <c r="D35">
        <v>72</v>
      </c>
      <c r="E35">
        <v>24248</v>
      </c>
      <c r="F35">
        <v>0</v>
      </c>
      <c r="G35">
        <v>341</v>
      </c>
      <c r="H35">
        <v>150290</v>
      </c>
      <c r="I35">
        <v>0.92200000000000004</v>
      </c>
      <c r="J35">
        <v>-2572000</v>
      </c>
      <c r="K35">
        <v>-6257000</v>
      </c>
      <c r="L35">
        <v>420500</v>
      </c>
      <c r="M35">
        <v>4063</v>
      </c>
      <c r="N35">
        <v>-1261</v>
      </c>
      <c r="O35">
        <v>6024</v>
      </c>
      <c r="P35">
        <v>2.5349731449999999</v>
      </c>
      <c r="Q35">
        <v>-113.07424159999999</v>
      </c>
      <c r="R35">
        <v>400027.96879999997</v>
      </c>
    </row>
    <row r="36" spans="1:18" x14ac:dyDescent="0.25">
      <c r="A36">
        <v>2161</v>
      </c>
      <c r="B36">
        <v>49378</v>
      </c>
      <c r="C36">
        <v>83</v>
      </c>
      <c r="D36">
        <v>72</v>
      </c>
      <c r="E36">
        <v>40632</v>
      </c>
      <c r="F36">
        <v>0</v>
      </c>
      <c r="G36">
        <v>341</v>
      </c>
      <c r="H36">
        <v>150291</v>
      </c>
      <c r="I36">
        <v>0.17199999999999999</v>
      </c>
      <c r="J36">
        <v>-2571000</v>
      </c>
      <c r="K36">
        <v>-6257000</v>
      </c>
      <c r="L36">
        <v>422000</v>
      </c>
      <c r="M36">
        <v>4064</v>
      </c>
      <c r="N36">
        <v>-1259</v>
      </c>
      <c r="O36">
        <v>6024</v>
      </c>
      <c r="P36">
        <v>2.5349731449999999</v>
      </c>
      <c r="Q36">
        <v>-113.07424159999999</v>
      </c>
      <c r="R36">
        <v>400027.96879999997</v>
      </c>
    </row>
    <row r="37" spans="1:18" x14ac:dyDescent="0.25">
      <c r="A37">
        <v>2161</v>
      </c>
      <c r="B37">
        <v>49379</v>
      </c>
      <c r="C37">
        <v>83</v>
      </c>
      <c r="D37">
        <v>72</v>
      </c>
      <c r="E37">
        <v>57016</v>
      </c>
      <c r="F37">
        <v>0</v>
      </c>
      <c r="G37">
        <v>341</v>
      </c>
      <c r="H37">
        <v>150291</v>
      </c>
      <c r="I37">
        <v>0.42199999999999999</v>
      </c>
      <c r="J37">
        <v>-2570000</v>
      </c>
      <c r="K37">
        <v>-6258000</v>
      </c>
      <c r="L37">
        <v>423500</v>
      </c>
      <c r="M37">
        <v>4064</v>
      </c>
      <c r="N37">
        <v>-1258</v>
      </c>
      <c r="O37">
        <v>6024</v>
      </c>
      <c r="P37">
        <v>2.5349731449999999</v>
      </c>
      <c r="Q37">
        <v>-113.07424159999999</v>
      </c>
      <c r="R37">
        <v>400027.96879999997</v>
      </c>
    </row>
    <row r="38" spans="1:18" x14ac:dyDescent="0.25">
      <c r="A38">
        <v>2161</v>
      </c>
      <c r="B38">
        <v>49380</v>
      </c>
      <c r="C38">
        <v>83</v>
      </c>
      <c r="D38">
        <v>73</v>
      </c>
      <c r="E38">
        <v>7864</v>
      </c>
      <c r="F38">
        <v>0</v>
      </c>
      <c r="G38">
        <v>341</v>
      </c>
      <c r="H38">
        <v>150291</v>
      </c>
      <c r="I38">
        <v>0.67200000000000004</v>
      </c>
      <c r="J38">
        <v>-2569000</v>
      </c>
      <c r="K38">
        <v>-6258000</v>
      </c>
      <c r="L38">
        <v>425100</v>
      </c>
      <c r="M38">
        <v>4065</v>
      </c>
      <c r="N38">
        <v>-1256</v>
      </c>
      <c r="O38">
        <v>6023</v>
      </c>
      <c r="P38">
        <v>2.5349731449999999</v>
      </c>
      <c r="Q38">
        <v>-113.07424159999999</v>
      </c>
      <c r="R38">
        <v>400027.96879999997</v>
      </c>
    </row>
    <row r="39" spans="1:18" x14ac:dyDescent="0.25">
      <c r="A39">
        <v>2161</v>
      </c>
      <c r="B39">
        <v>49381</v>
      </c>
      <c r="C39">
        <v>83</v>
      </c>
      <c r="D39">
        <v>73</v>
      </c>
      <c r="E39">
        <v>24248</v>
      </c>
      <c r="F39">
        <v>0</v>
      </c>
      <c r="G39">
        <v>341</v>
      </c>
      <c r="H39">
        <v>150291</v>
      </c>
      <c r="I39">
        <v>0.92200000000000004</v>
      </c>
      <c r="J39">
        <v>-2568000</v>
      </c>
      <c r="K39">
        <v>-6258000</v>
      </c>
      <c r="L39">
        <v>426600</v>
      </c>
      <c r="M39">
        <v>4066</v>
      </c>
      <c r="N39">
        <v>-1254</v>
      </c>
      <c r="O39">
        <v>6023</v>
      </c>
      <c r="P39">
        <v>2.5349731449999999</v>
      </c>
      <c r="Q39">
        <v>-113.07424159999999</v>
      </c>
      <c r="R39">
        <v>400027.96879999997</v>
      </c>
    </row>
    <row r="40" spans="1:18" x14ac:dyDescent="0.25">
      <c r="A40">
        <v>2161</v>
      </c>
      <c r="B40">
        <v>49382</v>
      </c>
      <c r="C40">
        <v>83</v>
      </c>
      <c r="D40">
        <v>73</v>
      </c>
      <c r="E40">
        <v>40632</v>
      </c>
      <c r="F40">
        <v>0</v>
      </c>
      <c r="G40">
        <v>341</v>
      </c>
      <c r="H40">
        <v>150292</v>
      </c>
      <c r="I40">
        <v>0.17199999999999999</v>
      </c>
      <c r="J40">
        <v>-2567000</v>
      </c>
      <c r="K40">
        <v>-6259000</v>
      </c>
      <c r="L40">
        <v>428000</v>
      </c>
      <c r="M40">
        <v>4067</v>
      </c>
      <c r="N40">
        <v>-1252</v>
      </c>
      <c r="O40">
        <v>6023</v>
      </c>
      <c r="P40">
        <v>2.5349731449999999</v>
      </c>
      <c r="Q40">
        <v>-113.07424159999999</v>
      </c>
      <c r="R40">
        <v>400027.96879999997</v>
      </c>
    </row>
    <row r="41" spans="1:18" x14ac:dyDescent="0.25">
      <c r="A41">
        <v>2161</v>
      </c>
      <c r="B41">
        <v>49383</v>
      </c>
      <c r="C41">
        <v>83</v>
      </c>
      <c r="D41">
        <v>73</v>
      </c>
      <c r="E41">
        <v>57016</v>
      </c>
      <c r="F41">
        <v>0</v>
      </c>
      <c r="G41">
        <v>341</v>
      </c>
      <c r="H41">
        <v>150292</v>
      </c>
      <c r="I41">
        <v>0.42199999999999999</v>
      </c>
      <c r="J41">
        <v>-2566000</v>
      </c>
      <c r="K41">
        <v>-6259000</v>
      </c>
      <c r="L41">
        <v>429500</v>
      </c>
      <c r="M41">
        <v>4068</v>
      </c>
      <c r="N41">
        <v>-1250</v>
      </c>
      <c r="O41">
        <v>6023</v>
      </c>
      <c r="P41">
        <v>2.5349731449999999</v>
      </c>
      <c r="Q41">
        <v>-113.07424159999999</v>
      </c>
      <c r="R41">
        <v>400027.96879999997</v>
      </c>
    </row>
    <row r="42" spans="1:18" x14ac:dyDescent="0.25">
      <c r="A42">
        <v>2161</v>
      </c>
      <c r="B42">
        <v>49384</v>
      </c>
      <c r="C42">
        <v>83</v>
      </c>
      <c r="D42">
        <v>74</v>
      </c>
      <c r="E42">
        <v>7864</v>
      </c>
      <c r="F42">
        <v>0</v>
      </c>
      <c r="G42">
        <v>341</v>
      </c>
      <c r="H42">
        <v>150292</v>
      </c>
      <c r="I42">
        <v>0.67200000000000004</v>
      </c>
      <c r="J42">
        <v>-2565000</v>
      </c>
      <c r="K42">
        <v>-6259000</v>
      </c>
      <c r="L42">
        <v>431000</v>
      </c>
      <c r="M42">
        <v>4068</v>
      </c>
      <c r="N42">
        <v>-1248</v>
      </c>
      <c r="O42">
        <v>6023</v>
      </c>
      <c r="P42">
        <v>2.5349731449999999</v>
      </c>
      <c r="Q42">
        <v>-113.07424159999999</v>
      </c>
      <c r="R42">
        <v>400027.96879999997</v>
      </c>
    </row>
    <row r="43" spans="1:18" x14ac:dyDescent="0.25">
      <c r="A43">
        <v>2161</v>
      </c>
      <c r="B43">
        <v>49385</v>
      </c>
      <c r="C43">
        <v>83</v>
      </c>
      <c r="D43">
        <v>74</v>
      </c>
      <c r="E43">
        <v>24248</v>
      </c>
      <c r="F43">
        <v>0</v>
      </c>
      <c r="G43">
        <v>341</v>
      </c>
      <c r="H43">
        <v>150292</v>
      </c>
      <c r="I43">
        <v>0.92200000000000004</v>
      </c>
      <c r="J43">
        <v>-2564000</v>
      </c>
      <c r="K43">
        <v>-6259000</v>
      </c>
      <c r="L43">
        <v>432500</v>
      </c>
      <c r="M43">
        <v>4069</v>
      </c>
      <c r="N43">
        <v>-1246</v>
      </c>
      <c r="O43">
        <v>6023</v>
      </c>
      <c r="P43">
        <v>2.5349731449999999</v>
      </c>
      <c r="Q43">
        <v>-113.07424159999999</v>
      </c>
      <c r="R43">
        <v>400027.96879999997</v>
      </c>
    </row>
    <row r="44" spans="1:18" x14ac:dyDescent="0.25">
      <c r="A44">
        <v>2161</v>
      </c>
      <c r="B44">
        <v>49386</v>
      </c>
      <c r="C44">
        <v>83</v>
      </c>
      <c r="D44">
        <v>74</v>
      </c>
      <c r="E44">
        <v>40632</v>
      </c>
      <c r="F44">
        <v>0</v>
      </c>
      <c r="G44">
        <v>341</v>
      </c>
      <c r="H44">
        <v>150293</v>
      </c>
      <c r="I44">
        <v>0.17199999999999999</v>
      </c>
      <c r="J44">
        <v>-2563000</v>
      </c>
      <c r="K44">
        <v>-6260000</v>
      </c>
      <c r="L44">
        <v>434000</v>
      </c>
      <c r="M44">
        <v>4070</v>
      </c>
      <c r="N44">
        <v>-1245</v>
      </c>
      <c r="O44">
        <v>6023</v>
      </c>
      <c r="P44">
        <v>2.5349731449999999</v>
      </c>
      <c r="Q44">
        <v>-113.07424159999999</v>
      </c>
      <c r="R44">
        <v>400027.96879999997</v>
      </c>
    </row>
    <row r="45" spans="1:18" x14ac:dyDescent="0.25">
      <c r="A45">
        <v>2161</v>
      </c>
      <c r="B45">
        <v>49387</v>
      </c>
      <c r="C45">
        <v>83</v>
      </c>
      <c r="D45">
        <v>74</v>
      </c>
      <c r="E45">
        <v>57016</v>
      </c>
      <c r="F45">
        <v>0</v>
      </c>
      <c r="G45">
        <v>341</v>
      </c>
      <c r="H45">
        <v>150293</v>
      </c>
      <c r="I45">
        <v>0.42199999999999999</v>
      </c>
      <c r="J45">
        <v>-2562000</v>
      </c>
      <c r="K45">
        <v>-6260000</v>
      </c>
      <c r="L45">
        <v>435500</v>
      </c>
      <c r="M45">
        <v>4071</v>
      </c>
      <c r="N45">
        <v>-1243</v>
      </c>
      <c r="O45">
        <v>6022</v>
      </c>
      <c r="P45">
        <v>2.5349731449999999</v>
      </c>
      <c r="Q45">
        <v>-113.07424159999999</v>
      </c>
      <c r="R45">
        <v>400027.96879999997</v>
      </c>
    </row>
    <row r="46" spans="1:18" x14ac:dyDescent="0.25">
      <c r="A46">
        <v>2161</v>
      </c>
      <c r="B46">
        <v>49388</v>
      </c>
      <c r="C46">
        <v>83</v>
      </c>
      <c r="D46">
        <v>75</v>
      </c>
      <c r="E46">
        <v>7864</v>
      </c>
      <c r="F46">
        <v>0</v>
      </c>
      <c r="G46">
        <v>341</v>
      </c>
      <c r="H46">
        <v>150293</v>
      </c>
      <c r="I46">
        <v>0.67200000000000004</v>
      </c>
      <c r="J46">
        <v>-2561000</v>
      </c>
      <c r="K46">
        <v>-6260000</v>
      </c>
      <c r="L46">
        <v>437000</v>
      </c>
      <c r="M46">
        <v>4071</v>
      </c>
      <c r="N46">
        <v>-1241</v>
      </c>
      <c r="O46">
        <v>6022</v>
      </c>
      <c r="P46">
        <v>2.5349731449999999</v>
      </c>
      <c r="Q46">
        <v>-113.07424159999999</v>
      </c>
      <c r="R46">
        <v>400027.96879999997</v>
      </c>
    </row>
    <row r="47" spans="1:18" x14ac:dyDescent="0.25">
      <c r="A47">
        <v>2161</v>
      </c>
      <c r="B47">
        <v>49389</v>
      </c>
      <c r="C47">
        <v>83</v>
      </c>
      <c r="D47">
        <v>75</v>
      </c>
      <c r="E47">
        <v>24248</v>
      </c>
      <c r="F47">
        <v>0</v>
      </c>
      <c r="G47">
        <v>341</v>
      </c>
      <c r="H47">
        <v>150293</v>
      </c>
      <c r="I47">
        <v>0.92200000000000004</v>
      </c>
      <c r="J47">
        <v>-2560000</v>
      </c>
      <c r="K47">
        <v>-6261000</v>
      </c>
      <c r="L47">
        <v>438500</v>
      </c>
      <c r="M47">
        <v>4072</v>
      </c>
      <c r="N47">
        <v>-1239</v>
      </c>
      <c r="O47">
        <v>6022</v>
      </c>
      <c r="P47">
        <v>2.5349731449999999</v>
      </c>
      <c r="Q47">
        <v>-113.07424159999999</v>
      </c>
      <c r="R47">
        <v>400027.96879999997</v>
      </c>
    </row>
    <row r="48" spans="1:18" x14ac:dyDescent="0.25">
      <c r="A48">
        <v>2161</v>
      </c>
      <c r="B48">
        <v>49390</v>
      </c>
      <c r="C48">
        <v>83</v>
      </c>
      <c r="D48">
        <v>75</v>
      </c>
      <c r="E48">
        <v>40632</v>
      </c>
      <c r="F48">
        <v>0</v>
      </c>
      <c r="G48">
        <v>341</v>
      </c>
      <c r="H48">
        <v>150293</v>
      </c>
      <c r="I48">
        <v>0.92200000000000004</v>
      </c>
      <c r="J48">
        <v>-2560000</v>
      </c>
      <c r="K48">
        <v>-6261000</v>
      </c>
      <c r="L48">
        <v>438500</v>
      </c>
      <c r="M48">
        <v>4072</v>
      </c>
      <c r="N48">
        <v>-1239</v>
      </c>
      <c r="O48">
        <v>6022</v>
      </c>
      <c r="P48">
        <v>3.7449572089999998</v>
      </c>
      <c r="Q48">
        <v>-112.23027039999999</v>
      </c>
      <c r="R48">
        <v>399986.09379999997</v>
      </c>
    </row>
    <row r="49" spans="1:18" x14ac:dyDescent="0.25">
      <c r="A49">
        <v>2161</v>
      </c>
      <c r="B49">
        <v>49391</v>
      </c>
      <c r="C49">
        <v>83</v>
      </c>
      <c r="D49">
        <v>75</v>
      </c>
      <c r="E49">
        <v>57016</v>
      </c>
      <c r="F49">
        <v>0</v>
      </c>
      <c r="G49">
        <v>341</v>
      </c>
      <c r="H49">
        <v>150294</v>
      </c>
      <c r="I49">
        <v>0.42199999999999999</v>
      </c>
      <c r="J49">
        <v>-2558000</v>
      </c>
      <c r="K49">
        <v>-6261000</v>
      </c>
      <c r="L49">
        <v>441400</v>
      </c>
      <c r="M49">
        <v>4074</v>
      </c>
      <c r="N49">
        <v>-1235</v>
      </c>
      <c r="O49">
        <v>6022</v>
      </c>
      <c r="P49">
        <v>3.7449572089999998</v>
      </c>
      <c r="Q49">
        <v>-112.23027039999999</v>
      </c>
      <c r="R49">
        <v>399986.09379999997</v>
      </c>
    </row>
    <row r="50" spans="1:18" x14ac:dyDescent="0.25">
      <c r="A50">
        <v>2161</v>
      </c>
      <c r="B50">
        <v>49392</v>
      </c>
      <c r="C50">
        <v>83</v>
      </c>
      <c r="D50">
        <v>76</v>
      </c>
      <c r="E50">
        <v>7864</v>
      </c>
      <c r="F50">
        <v>0</v>
      </c>
      <c r="G50">
        <v>341</v>
      </c>
      <c r="H50">
        <v>150294</v>
      </c>
      <c r="I50">
        <v>0.67200000000000004</v>
      </c>
      <c r="J50">
        <v>-2557000</v>
      </c>
      <c r="K50">
        <v>-6262000</v>
      </c>
      <c r="L50">
        <v>442900</v>
      </c>
      <c r="M50">
        <v>4074</v>
      </c>
      <c r="N50">
        <v>-1233</v>
      </c>
      <c r="O50">
        <v>6022</v>
      </c>
      <c r="P50">
        <v>3.7449572089999998</v>
      </c>
      <c r="Q50">
        <v>-112.23027039999999</v>
      </c>
      <c r="R50">
        <v>399986.09379999997</v>
      </c>
    </row>
    <row r="51" spans="1:18" x14ac:dyDescent="0.25">
      <c r="A51">
        <v>2161</v>
      </c>
      <c r="B51">
        <v>49393</v>
      </c>
      <c r="C51">
        <v>83</v>
      </c>
      <c r="D51">
        <v>76</v>
      </c>
      <c r="E51">
        <v>24248</v>
      </c>
      <c r="F51">
        <v>0</v>
      </c>
      <c r="G51">
        <v>341</v>
      </c>
      <c r="H51">
        <v>150294</v>
      </c>
      <c r="I51">
        <v>0.92200000000000004</v>
      </c>
      <c r="J51">
        <v>-2556000</v>
      </c>
      <c r="K51">
        <v>-6262000</v>
      </c>
      <c r="L51">
        <v>444400</v>
      </c>
      <c r="M51">
        <v>4075</v>
      </c>
      <c r="N51">
        <v>-1232</v>
      </c>
      <c r="O51">
        <v>6022</v>
      </c>
      <c r="P51">
        <v>3.7449572089999998</v>
      </c>
      <c r="Q51">
        <v>-112.23027039999999</v>
      </c>
      <c r="R51">
        <v>399986.09379999997</v>
      </c>
    </row>
    <row r="52" spans="1:18" x14ac:dyDescent="0.25">
      <c r="A52">
        <v>2161</v>
      </c>
      <c r="B52">
        <v>49394</v>
      </c>
      <c r="C52">
        <v>83</v>
      </c>
      <c r="D52">
        <v>76</v>
      </c>
      <c r="E52">
        <v>40632</v>
      </c>
      <c r="F52">
        <v>0</v>
      </c>
      <c r="G52">
        <v>341</v>
      </c>
      <c r="H52">
        <v>150295</v>
      </c>
      <c r="I52">
        <v>0.17199999999999999</v>
      </c>
      <c r="J52">
        <v>-2555000</v>
      </c>
      <c r="K52">
        <v>-6262000</v>
      </c>
      <c r="L52">
        <v>445900</v>
      </c>
      <c r="M52">
        <v>4076</v>
      </c>
      <c r="N52">
        <v>-1230</v>
      </c>
      <c r="O52">
        <v>6021</v>
      </c>
      <c r="P52">
        <v>3.7449572089999998</v>
      </c>
      <c r="Q52">
        <v>-112.23027039999999</v>
      </c>
      <c r="R52">
        <v>399986.09379999997</v>
      </c>
    </row>
    <row r="53" spans="1:18" x14ac:dyDescent="0.25">
      <c r="A53">
        <v>2161</v>
      </c>
      <c r="B53">
        <v>49395</v>
      </c>
      <c r="C53">
        <v>83</v>
      </c>
      <c r="D53">
        <v>76</v>
      </c>
      <c r="E53">
        <v>57016</v>
      </c>
      <c r="F53">
        <v>0</v>
      </c>
      <c r="G53">
        <v>341</v>
      </c>
      <c r="H53">
        <v>150295</v>
      </c>
      <c r="I53">
        <v>0.42199999999999999</v>
      </c>
      <c r="J53">
        <v>-2554000</v>
      </c>
      <c r="K53">
        <v>-6263000</v>
      </c>
      <c r="L53">
        <v>447500</v>
      </c>
      <c r="M53">
        <v>4077</v>
      </c>
      <c r="N53">
        <v>-1228</v>
      </c>
      <c r="O53">
        <v>6021</v>
      </c>
      <c r="P53">
        <v>3.7449572089999998</v>
      </c>
      <c r="Q53">
        <v>-112.23027039999999</v>
      </c>
      <c r="R53">
        <v>399986.09379999997</v>
      </c>
    </row>
    <row r="54" spans="1:18" x14ac:dyDescent="0.25">
      <c r="A54">
        <v>2161</v>
      </c>
      <c r="B54">
        <v>49396</v>
      </c>
      <c r="C54">
        <v>83</v>
      </c>
      <c r="D54">
        <v>77</v>
      </c>
      <c r="E54">
        <v>7864</v>
      </c>
      <c r="F54">
        <v>0</v>
      </c>
      <c r="G54">
        <v>341</v>
      </c>
      <c r="H54">
        <v>150295</v>
      </c>
      <c r="I54">
        <v>0.67200000000000004</v>
      </c>
      <c r="J54">
        <v>-2553000</v>
      </c>
      <c r="K54">
        <v>-6263000</v>
      </c>
      <c r="L54">
        <v>449000</v>
      </c>
      <c r="M54">
        <v>4078</v>
      </c>
      <c r="N54">
        <v>-1226</v>
      </c>
      <c r="O54">
        <v>6021</v>
      </c>
      <c r="P54">
        <v>3.7449572089999998</v>
      </c>
      <c r="Q54">
        <v>-112.23027039999999</v>
      </c>
      <c r="R54">
        <v>399986.09379999997</v>
      </c>
    </row>
    <row r="55" spans="1:18" x14ac:dyDescent="0.25">
      <c r="A55">
        <v>2161</v>
      </c>
      <c r="B55">
        <v>49397</v>
      </c>
      <c r="C55">
        <v>83</v>
      </c>
      <c r="D55">
        <v>77</v>
      </c>
      <c r="E55">
        <v>24248</v>
      </c>
      <c r="F55">
        <v>0</v>
      </c>
      <c r="G55">
        <v>341</v>
      </c>
      <c r="H55">
        <v>150295</v>
      </c>
      <c r="I55">
        <v>0.92200000000000004</v>
      </c>
      <c r="J55">
        <v>-2552000</v>
      </c>
      <c r="K55">
        <v>-6263000</v>
      </c>
      <c r="L55">
        <v>450500</v>
      </c>
      <c r="M55">
        <v>4078</v>
      </c>
      <c r="N55">
        <v>-1224</v>
      </c>
      <c r="O55">
        <v>6021</v>
      </c>
      <c r="P55">
        <v>3.7449572089999998</v>
      </c>
      <c r="Q55">
        <v>-112.23027039999999</v>
      </c>
      <c r="R55">
        <v>399986.09379999997</v>
      </c>
    </row>
    <row r="56" spans="1:18" x14ac:dyDescent="0.25">
      <c r="A56">
        <v>2161</v>
      </c>
      <c r="B56">
        <v>49398</v>
      </c>
      <c r="C56">
        <v>83</v>
      </c>
      <c r="D56">
        <v>77</v>
      </c>
      <c r="E56">
        <v>40632</v>
      </c>
      <c r="F56">
        <v>0</v>
      </c>
      <c r="G56">
        <v>341</v>
      </c>
      <c r="H56">
        <v>150296</v>
      </c>
      <c r="I56">
        <v>0.17199999999999999</v>
      </c>
      <c r="J56">
        <v>-2551000</v>
      </c>
      <c r="K56">
        <v>-6263000</v>
      </c>
      <c r="L56">
        <v>451900</v>
      </c>
      <c r="M56">
        <v>4079</v>
      </c>
      <c r="N56">
        <v>-1222</v>
      </c>
      <c r="O56">
        <v>6021</v>
      </c>
      <c r="P56">
        <v>3.7449572089999998</v>
      </c>
      <c r="Q56">
        <v>-112.23027039999999</v>
      </c>
      <c r="R56">
        <v>399986.09379999997</v>
      </c>
    </row>
    <row r="57" spans="1:18" x14ac:dyDescent="0.25">
      <c r="A57">
        <v>2161</v>
      </c>
      <c r="B57">
        <v>49399</v>
      </c>
      <c r="C57">
        <v>83</v>
      </c>
      <c r="D57">
        <v>77</v>
      </c>
      <c r="E57">
        <v>57016</v>
      </c>
      <c r="F57">
        <v>0</v>
      </c>
      <c r="G57">
        <v>341</v>
      </c>
      <c r="H57">
        <v>150296</v>
      </c>
      <c r="I57">
        <v>0.42199999999999999</v>
      </c>
      <c r="J57">
        <v>-2550000</v>
      </c>
      <c r="K57">
        <v>-6264000</v>
      </c>
      <c r="L57">
        <v>453400</v>
      </c>
      <c r="M57">
        <v>4080</v>
      </c>
      <c r="N57">
        <v>-1221</v>
      </c>
      <c r="O57">
        <v>6021</v>
      </c>
      <c r="P57">
        <v>3.7449572089999998</v>
      </c>
      <c r="Q57">
        <v>-112.23027039999999</v>
      </c>
      <c r="R57">
        <v>399986.09379999997</v>
      </c>
    </row>
    <row r="58" spans="1:18" x14ac:dyDescent="0.25">
      <c r="A58">
        <v>2161</v>
      </c>
      <c r="B58">
        <v>49400</v>
      </c>
      <c r="C58">
        <v>83</v>
      </c>
      <c r="D58">
        <v>78</v>
      </c>
      <c r="E58">
        <v>7864</v>
      </c>
      <c r="F58">
        <v>0</v>
      </c>
      <c r="G58">
        <v>341</v>
      </c>
      <c r="H58">
        <v>150296</v>
      </c>
      <c r="I58">
        <v>0.67200000000000004</v>
      </c>
      <c r="J58">
        <v>-2549000</v>
      </c>
      <c r="K58">
        <v>-6264000</v>
      </c>
      <c r="L58">
        <v>454900</v>
      </c>
      <c r="M58">
        <v>4081</v>
      </c>
      <c r="N58">
        <v>-1219</v>
      </c>
      <c r="O58">
        <v>6021</v>
      </c>
      <c r="P58">
        <v>3.7449572089999998</v>
      </c>
      <c r="Q58">
        <v>-112.23027039999999</v>
      </c>
      <c r="R58">
        <v>399986.09379999997</v>
      </c>
    </row>
    <row r="59" spans="1:18" x14ac:dyDescent="0.25">
      <c r="A59">
        <v>2161</v>
      </c>
      <c r="B59">
        <v>49401</v>
      </c>
      <c r="C59">
        <v>83</v>
      </c>
      <c r="D59">
        <v>78</v>
      </c>
      <c r="E59">
        <v>24248</v>
      </c>
      <c r="F59">
        <v>0</v>
      </c>
      <c r="G59">
        <v>341</v>
      </c>
      <c r="H59">
        <v>150296</v>
      </c>
      <c r="I59">
        <v>0.92200000000000004</v>
      </c>
      <c r="J59">
        <v>-2548000</v>
      </c>
      <c r="K59">
        <v>-6264000</v>
      </c>
      <c r="L59">
        <v>456400</v>
      </c>
      <c r="M59">
        <v>4081</v>
      </c>
      <c r="N59">
        <v>-1217</v>
      </c>
      <c r="O59">
        <v>6021</v>
      </c>
      <c r="P59">
        <v>3.7449572089999998</v>
      </c>
      <c r="Q59">
        <v>-112.23027039999999</v>
      </c>
      <c r="R59">
        <v>399986.09379999997</v>
      </c>
    </row>
    <row r="60" spans="1:18" x14ac:dyDescent="0.25">
      <c r="A60">
        <v>2161</v>
      </c>
      <c r="B60">
        <v>49402</v>
      </c>
      <c r="C60">
        <v>83</v>
      </c>
      <c r="D60">
        <v>78</v>
      </c>
      <c r="E60">
        <v>40632</v>
      </c>
      <c r="F60">
        <v>0</v>
      </c>
      <c r="G60">
        <v>341</v>
      </c>
      <c r="H60">
        <v>150297</v>
      </c>
      <c r="I60">
        <v>0.17199999999999999</v>
      </c>
      <c r="J60">
        <v>-2547000</v>
      </c>
      <c r="K60">
        <v>-6265000</v>
      </c>
      <c r="L60">
        <v>457900</v>
      </c>
      <c r="M60">
        <v>4082</v>
      </c>
      <c r="N60">
        <v>-1215</v>
      </c>
      <c r="O60">
        <v>6020</v>
      </c>
      <c r="P60">
        <v>3.7449572089999998</v>
      </c>
      <c r="Q60">
        <v>-112.23027039999999</v>
      </c>
      <c r="R60">
        <v>399986.09379999997</v>
      </c>
    </row>
    <row r="61" spans="1:18" x14ac:dyDescent="0.25">
      <c r="A61">
        <v>2161</v>
      </c>
      <c r="B61">
        <v>49403</v>
      </c>
      <c r="C61">
        <v>83</v>
      </c>
      <c r="D61">
        <v>78</v>
      </c>
      <c r="E61">
        <v>57016</v>
      </c>
      <c r="F61">
        <v>0</v>
      </c>
      <c r="G61">
        <v>341</v>
      </c>
      <c r="H61">
        <v>150297</v>
      </c>
      <c r="I61">
        <v>0.42199999999999999</v>
      </c>
      <c r="J61">
        <v>-2546000</v>
      </c>
      <c r="K61">
        <v>-6265000</v>
      </c>
      <c r="L61">
        <v>459400</v>
      </c>
      <c r="M61">
        <v>4083</v>
      </c>
      <c r="N61">
        <v>-1213</v>
      </c>
      <c r="O61">
        <v>6020</v>
      </c>
      <c r="P61">
        <v>3.7449572089999998</v>
      </c>
      <c r="Q61">
        <v>-112.23027039999999</v>
      </c>
      <c r="R61">
        <v>399986.09379999997</v>
      </c>
    </row>
    <row r="62" spans="1:18" x14ac:dyDescent="0.25">
      <c r="A62">
        <v>2161</v>
      </c>
      <c r="B62">
        <v>49404</v>
      </c>
      <c r="C62">
        <v>83</v>
      </c>
      <c r="D62">
        <v>79</v>
      </c>
      <c r="E62">
        <v>7864</v>
      </c>
      <c r="F62">
        <v>0</v>
      </c>
      <c r="G62">
        <v>341</v>
      </c>
      <c r="H62">
        <v>150297</v>
      </c>
      <c r="I62">
        <v>0.67200000000000004</v>
      </c>
      <c r="J62">
        <v>-2545000</v>
      </c>
      <c r="K62">
        <v>-6265000</v>
      </c>
      <c r="L62">
        <v>460900</v>
      </c>
      <c r="M62">
        <v>4084</v>
      </c>
      <c r="N62">
        <v>-1211</v>
      </c>
      <c r="O62">
        <v>6020</v>
      </c>
      <c r="P62">
        <v>3.7449572089999998</v>
      </c>
      <c r="Q62">
        <v>-112.23027039999999</v>
      </c>
      <c r="R62">
        <v>399986.09379999997</v>
      </c>
    </row>
    <row r="63" spans="1:18" x14ac:dyDescent="0.25">
      <c r="A63">
        <v>2161</v>
      </c>
      <c r="B63">
        <v>49405</v>
      </c>
      <c r="C63">
        <v>83</v>
      </c>
      <c r="D63">
        <v>79</v>
      </c>
      <c r="E63">
        <v>24248</v>
      </c>
      <c r="F63">
        <v>0</v>
      </c>
      <c r="G63">
        <v>341</v>
      </c>
      <c r="H63">
        <v>150297</v>
      </c>
      <c r="I63">
        <v>0.92200000000000004</v>
      </c>
      <c r="J63">
        <v>-2544000</v>
      </c>
      <c r="K63">
        <v>-6266000</v>
      </c>
      <c r="L63">
        <v>462400</v>
      </c>
      <c r="M63">
        <v>4084</v>
      </c>
      <c r="N63">
        <v>-1209</v>
      </c>
      <c r="O63">
        <v>6020</v>
      </c>
      <c r="P63">
        <v>3.7449572089999998</v>
      </c>
      <c r="Q63">
        <v>-112.23027039999999</v>
      </c>
      <c r="R63">
        <v>399986.09379999997</v>
      </c>
    </row>
    <row r="64" spans="1:18" x14ac:dyDescent="0.25">
      <c r="A64">
        <v>2161</v>
      </c>
      <c r="B64">
        <v>49406</v>
      </c>
      <c r="C64">
        <v>83</v>
      </c>
      <c r="D64">
        <v>79</v>
      </c>
      <c r="E64">
        <v>40632</v>
      </c>
      <c r="F64">
        <v>0</v>
      </c>
      <c r="G64">
        <v>341</v>
      </c>
      <c r="H64">
        <v>150298</v>
      </c>
      <c r="I64">
        <v>0.17199999999999999</v>
      </c>
      <c r="J64">
        <v>-2543000</v>
      </c>
      <c r="K64">
        <v>-6266000</v>
      </c>
      <c r="L64">
        <v>463900</v>
      </c>
      <c r="M64">
        <v>4085</v>
      </c>
      <c r="N64">
        <v>-1208</v>
      </c>
      <c r="O64">
        <v>6020</v>
      </c>
      <c r="P64">
        <v>3.7449572089999998</v>
      </c>
      <c r="Q64">
        <v>-112.23027039999999</v>
      </c>
      <c r="R64">
        <v>399986.09379999997</v>
      </c>
    </row>
    <row r="65" spans="1:18" x14ac:dyDescent="0.25">
      <c r="A65">
        <v>2161</v>
      </c>
      <c r="B65">
        <v>49407</v>
      </c>
      <c r="C65">
        <v>83</v>
      </c>
      <c r="D65">
        <v>79</v>
      </c>
      <c r="E65">
        <v>57016</v>
      </c>
      <c r="F65">
        <v>0</v>
      </c>
      <c r="G65">
        <v>341</v>
      </c>
      <c r="H65">
        <v>150298</v>
      </c>
      <c r="I65">
        <v>0.42199999999999999</v>
      </c>
      <c r="J65">
        <v>-2542000</v>
      </c>
      <c r="K65">
        <v>-6266000</v>
      </c>
      <c r="L65">
        <v>465400</v>
      </c>
      <c r="M65">
        <v>4086</v>
      </c>
      <c r="N65">
        <v>-1206</v>
      </c>
      <c r="O65">
        <v>6020</v>
      </c>
      <c r="P65">
        <v>3.7449572089999998</v>
      </c>
      <c r="Q65">
        <v>-112.23027039999999</v>
      </c>
      <c r="R65">
        <v>399986.09379999997</v>
      </c>
    </row>
    <row r="66" spans="1:18" x14ac:dyDescent="0.25">
      <c r="A66">
        <v>2161</v>
      </c>
      <c r="B66">
        <v>49408</v>
      </c>
      <c r="C66">
        <v>83</v>
      </c>
      <c r="D66">
        <v>80</v>
      </c>
      <c r="E66">
        <v>7864</v>
      </c>
      <c r="F66">
        <v>0</v>
      </c>
      <c r="G66">
        <v>341</v>
      </c>
      <c r="H66">
        <v>150298</v>
      </c>
      <c r="I66">
        <v>0.67200000000000004</v>
      </c>
      <c r="J66">
        <v>-2541000</v>
      </c>
      <c r="K66">
        <v>-6266000</v>
      </c>
      <c r="L66">
        <v>466900</v>
      </c>
      <c r="M66">
        <v>4087</v>
      </c>
      <c r="N66">
        <v>-1204</v>
      </c>
      <c r="O66">
        <v>6019</v>
      </c>
      <c r="P66">
        <v>3.7449572089999998</v>
      </c>
      <c r="Q66">
        <v>-112.23027039999999</v>
      </c>
      <c r="R66">
        <v>399986.09379999997</v>
      </c>
    </row>
    <row r="67" spans="1:18" x14ac:dyDescent="0.25">
      <c r="A67">
        <v>2161</v>
      </c>
      <c r="B67">
        <v>49409</v>
      </c>
      <c r="C67">
        <v>83</v>
      </c>
      <c r="D67">
        <v>80</v>
      </c>
      <c r="E67">
        <v>24248</v>
      </c>
      <c r="F67">
        <v>0</v>
      </c>
      <c r="G67">
        <v>341</v>
      </c>
      <c r="H67">
        <v>150298</v>
      </c>
      <c r="I67">
        <v>0.92200000000000004</v>
      </c>
      <c r="J67">
        <v>-2540000</v>
      </c>
      <c r="K67">
        <v>-6267000</v>
      </c>
      <c r="L67">
        <v>468400</v>
      </c>
      <c r="M67">
        <v>4088</v>
      </c>
      <c r="N67">
        <v>-1202</v>
      </c>
      <c r="O67">
        <v>6019</v>
      </c>
      <c r="P67">
        <v>3.7449572089999998</v>
      </c>
      <c r="Q67">
        <v>-112.23027039999999</v>
      </c>
      <c r="R67">
        <v>399986.09379999997</v>
      </c>
    </row>
    <row r="68" spans="1:18" x14ac:dyDescent="0.25">
      <c r="A68">
        <v>2161</v>
      </c>
      <c r="B68">
        <v>49410</v>
      </c>
      <c r="C68">
        <v>83</v>
      </c>
      <c r="D68">
        <v>80</v>
      </c>
      <c r="E68">
        <v>41287</v>
      </c>
      <c r="F68">
        <v>0</v>
      </c>
      <c r="G68">
        <v>341</v>
      </c>
      <c r="H68">
        <v>150299</v>
      </c>
      <c r="I68">
        <v>0.17199999999999999</v>
      </c>
      <c r="J68">
        <v>-2539000</v>
      </c>
      <c r="K68">
        <v>-6267000</v>
      </c>
      <c r="L68">
        <v>469900</v>
      </c>
      <c r="M68">
        <v>4088</v>
      </c>
      <c r="N68">
        <v>-1200</v>
      </c>
      <c r="O68">
        <v>6019</v>
      </c>
      <c r="P68">
        <v>3.7449572089999998</v>
      </c>
      <c r="Q68">
        <v>-112.23027039999999</v>
      </c>
      <c r="R68">
        <v>399986.09379999997</v>
      </c>
    </row>
    <row r="69" spans="1:18" x14ac:dyDescent="0.25">
      <c r="A69">
        <v>2161</v>
      </c>
      <c r="B69">
        <v>49411</v>
      </c>
      <c r="C69">
        <v>83</v>
      </c>
      <c r="D69">
        <v>80</v>
      </c>
      <c r="E69">
        <v>57671</v>
      </c>
      <c r="F69">
        <v>0</v>
      </c>
      <c r="G69">
        <v>341</v>
      </c>
      <c r="H69">
        <v>150299</v>
      </c>
      <c r="I69">
        <v>0.42199999999999999</v>
      </c>
      <c r="J69">
        <v>-2538000</v>
      </c>
      <c r="K69">
        <v>-6267000</v>
      </c>
      <c r="L69">
        <v>471400</v>
      </c>
      <c r="M69">
        <v>4089</v>
      </c>
      <c r="N69">
        <v>-1198</v>
      </c>
      <c r="O69">
        <v>6019</v>
      </c>
      <c r="P69">
        <v>3.7449572089999998</v>
      </c>
      <c r="Q69">
        <v>-112.23027039999999</v>
      </c>
      <c r="R69">
        <v>399986.09379999997</v>
      </c>
    </row>
    <row r="70" spans="1:18" x14ac:dyDescent="0.25">
      <c r="A70">
        <v>2161</v>
      </c>
      <c r="B70">
        <v>49412</v>
      </c>
      <c r="C70">
        <v>83</v>
      </c>
      <c r="D70">
        <v>81</v>
      </c>
      <c r="E70">
        <v>8519</v>
      </c>
      <c r="F70">
        <v>0</v>
      </c>
      <c r="G70">
        <v>341</v>
      </c>
      <c r="H70">
        <v>150299</v>
      </c>
      <c r="I70">
        <v>0.42199999999999999</v>
      </c>
      <c r="J70">
        <v>-2538000</v>
      </c>
      <c r="K70">
        <v>-6267000</v>
      </c>
      <c r="L70">
        <v>471400</v>
      </c>
      <c r="M70">
        <v>4089</v>
      </c>
      <c r="N70">
        <v>-1198</v>
      </c>
      <c r="O70">
        <v>6019</v>
      </c>
      <c r="P70">
        <v>4.0257096289999996</v>
      </c>
      <c r="Q70">
        <v>-112.0340271</v>
      </c>
      <c r="R70">
        <v>399978.8125</v>
      </c>
    </row>
    <row r="71" spans="1:18" x14ac:dyDescent="0.25">
      <c r="A71">
        <v>2161</v>
      </c>
      <c r="B71">
        <v>49413</v>
      </c>
      <c r="C71">
        <v>83</v>
      </c>
      <c r="D71">
        <v>81</v>
      </c>
      <c r="E71">
        <v>41287</v>
      </c>
      <c r="F71">
        <v>0</v>
      </c>
      <c r="G71">
        <v>341</v>
      </c>
      <c r="H71">
        <v>150300</v>
      </c>
      <c r="I71">
        <v>0.17199999999999999</v>
      </c>
      <c r="J71">
        <v>-2535000</v>
      </c>
      <c r="K71">
        <v>-6268000</v>
      </c>
      <c r="L71">
        <v>475800</v>
      </c>
      <c r="M71">
        <v>4091</v>
      </c>
      <c r="N71">
        <v>-1193</v>
      </c>
      <c r="O71">
        <v>6019</v>
      </c>
      <c r="P71">
        <v>4.0257096289999996</v>
      </c>
      <c r="Q71">
        <v>-112.0340271</v>
      </c>
      <c r="R71">
        <v>399978.8125</v>
      </c>
    </row>
    <row r="72" spans="1:18" x14ac:dyDescent="0.25">
      <c r="A72">
        <v>2161</v>
      </c>
      <c r="B72">
        <v>49414</v>
      </c>
      <c r="C72">
        <v>83</v>
      </c>
      <c r="D72">
        <v>81</v>
      </c>
      <c r="E72">
        <v>57671</v>
      </c>
      <c r="F72">
        <v>0</v>
      </c>
      <c r="G72">
        <v>341</v>
      </c>
      <c r="H72">
        <v>150300</v>
      </c>
      <c r="I72">
        <v>0.42199999999999999</v>
      </c>
      <c r="J72">
        <v>-2534000</v>
      </c>
      <c r="K72">
        <v>-6269000</v>
      </c>
      <c r="L72">
        <v>477300</v>
      </c>
      <c r="M72">
        <v>4092</v>
      </c>
      <c r="N72">
        <v>-1191</v>
      </c>
      <c r="O72">
        <v>6018</v>
      </c>
      <c r="P72">
        <v>4.0257096289999996</v>
      </c>
      <c r="Q72">
        <v>-112.0340271</v>
      </c>
      <c r="R72">
        <v>399978.8125</v>
      </c>
    </row>
    <row r="73" spans="1:18" x14ac:dyDescent="0.25">
      <c r="A73">
        <v>2161</v>
      </c>
      <c r="B73">
        <v>49415</v>
      </c>
      <c r="C73">
        <v>83</v>
      </c>
      <c r="D73">
        <v>82</v>
      </c>
      <c r="E73">
        <v>8519</v>
      </c>
      <c r="F73">
        <v>0</v>
      </c>
      <c r="G73">
        <v>341</v>
      </c>
      <c r="H73">
        <v>150300</v>
      </c>
      <c r="I73">
        <v>0.67200000000000004</v>
      </c>
      <c r="J73">
        <v>-2533000</v>
      </c>
      <c r="K73">
        <v>-6269000</v>
      </c>
      <c r="L73">
        <v>478800</v>
      </c>
      <c r="M73">
        <v>4093</v>
      </c>
      <c r="N73">
        <v>-1189</v>
      </c>
      <c r="O73">
        <v>6018</v>
      </c>
      <c r="P73">
        <v>4.0257096289999996</v>
      </c>
      <c r="Q73">
        <v>-112.0340271</v>
      </c>
      <c r="R73">
        <v>399978.8125</v>
      </c>
    </row>
    <row r="74" spans="1:18" x14ac:dyDescent="0.25">
      <c r="A74">
        <v>2161</v>
      </c>
      <c r="B74">
        <v>49416</v>
      </c>
      <c r="C74">
        <v>83</v>
      </c>
      <c r="D74">
        <v>82</v>
      </c>
      <c r="E74">
        <v>24903</v>
      </c>
      <c r="F74">
        <v>0</v>
      </c>
      <c r="G74">
        <v>341</v>
      </c>
      <c r="H74">
        <v>150300</v>
      </c>
      <c r="I74">
        <v>0.92200000000000004</v>
      </c>
      <c r="J74">
        <v>-2532000</v>
      </c>
      <c r="K74">
        <v>-6269000</v>
      </c>
      <c r="L74">
        <v>480300</v>
      </c>
      <c r="M74">
        <v>4094</v>
      </c>
      <c r="N74">
        <v>-1187</v>
      </c>
      <c r="O74">
        <v>6018</v>
      </c>
      <c r="P74">
        <v>4.0257096289999996</v>
      </c>
      <c r="Q74">
        <v>-112.0340271</v>
      </c>
      <c r="R74">
        <v>399978.8125</v>
      </c>
    </row>
    <row r="75" spans="1:18" x14ac:dyDescent="0.25">
      <c r="A75">
        <v>2161</v>
      </c>
      <c r="B75">
        <v>49417</v>
      </c>
      <c r="C75">
        <v>83</v>
      </c>
      <c r="D75">
        <v>82</v>
      </c>
      <c r="E75">
        <v>41287</v>
      </c>
      <c r="F75">
        <v>0</v>
      </c>
      <c r="G75">
        <v>341</v>
      </c>
      <c r="H75">
        <v>150301</v>
      </c>
      <c r="I75">
        <v>0.17199999999999999</v>
      </c>
      <c r="J75">
        <v>-2531000</v>
      </c>
      <c r="K75">
        <v>-6269000</v>
      </c>
      <c r="L75">
        <v>481800</v>
      </c>
      <c r="M75">
        <v>4094</v>
      </c>
      <c r="N75">
        <v>-1185</v>
      </c>
      <c r="O75">
        <v>6018</v>
      </c>
      <c r="P75">
        <v>4.0257096289999996</v>
      </c>
      <c r="Q75">
        <v>-112.0340271</v>
      </c>
      <c r="R75">
        <v>399978.8125</v>
      </c>
    </row>
    <row r="76" spans="1:18" x14ac:dyDescent="0.25">
      <c r="A76">
        <v>2161</v>
      </c>
      <c r="B76">
        <v>49418</v>
      </c>
      <c r="C76">
        <v>83</v>
      </c>
      <c r="D76">
        <v>82</v>
      </c>
      <c r="E76">
        <v>57671</v>
      </c>
      <c r="F76">
        <v>0</v>
      </c>
      <c r="G76">
        <v>341</v>
      </c>
      <c r="H76">
        <v>150301</v>
      </c>
      <c r="I76">
        <v>0.42199999999999999</v>
      </c>
      <c r="J76">
        <v>-2530000</v>
      </c>
      <c r="K76">
        <v>-6270000</v>
      </c>
      <c r="L76">
        <v>483300</v>
      </c>
      <c r="M76">
        <v>4095</v>
      </c>
      <c r="N76">
        <v>-1184</v>
      </c>
      <c r="O76">
        <v>6018</v>
      </c>
      <c r="P76">
        <v>4.0257096289999996</v>
      </c>
      <c r="Q76">
        <v>-112.0340271</v>
      </c>
      <c r="R76">
        <v>399978.8125</v>
      </c>
    </row>
    <row r="77" spans="1:18" x14ac:dyDescent="0.25">
      <c r="A77">
        <v>2161</v>
      </c>
      <c r="B77">
        <v>49419</v>
      </c>
      <c r="C77">
        <v>83</v>
      </c>
      <c r="D77">
        <v>83</v>
      </c>
      <c r="E77">
        <v>8519</v>
      </c>
      <c r="F77">
        <v>0</v>
      </c>
      <c r="G77">
        <v>341</v>
      </c>
      <c r="H77">
        <v>150301</v>
      </c>
      <c r="I77">
        <v>0.67200000000000004</v>
      </c>
      <c r="J77">
        <v>-2528000</v>
      </c>
      <c r="K77">
        <v>-6270000</v>
      </c>
      <c r="L77">
        <v>484800</v>
      </c>
      <c r="M77">
        <v>4096</v>
      </c>
      <c r="N77">
        <v>-1182</v>
      </c>
      <c r="O77">
        <v>6018</v>
      </c>
      <c r="P77">
        <v>4.0257096289999996</v>
      </c>
      <c r="Q77">
        <v>-112.0340271</v>
      </c>
      <c r="R77">
        <v>399978.8125</v>
      </c>
    </row>
    <row r="78" spans="1:18" x14ac:dyDescent="0.25">
      <c r="A78">
        <v>2161</v>
      </c>
      <c r="B78">
        <v>49420</v>
      </c>
      <c r="C78">
        <v>83</v>
      </c>
      <c r="D78">
        <v>83</v>
      </c>
      <c r="E78">
        <v>24903</v>
      </c>
      <c r="F78">
        <v>0</v>
      </c>
      <c r="G78">
        <v>341</v>
      </c>
      <c r="H78">
        <v>150301</v>
      </c>
      <c r="I78">
        <v>0.92200000000000004</v>
      </c>
      <c r="J78">
        <v>-2527000</v>
      </c>
      <c r="K78">
        <v>-6270000</v>
      </c>
      <c r="L78">
        <v>486300</v>
      </c>
      <c r="M78">
        <v>4097</v>
      </c>
      <c r="N78">
        <v>-1180</v>
      </c>
      <c r="O78">
        <v>6017</v>
      </c>
      <c r="P78">
        <v>4.0257096289999996</v>
      </c>
      <c r="Q78">
        <v>-112.0340271</v>
      </c>
      <c r="R78">
        <v>399978.8125</v>
      </c>
    </row>
    <row r="79" spans="1:18" x14ac:dyDescent="0.25">
      <c r="A79">
        <v>2161</v>
      </c>
      <c r="B79">
        <v>49421</v>
      </c>
      <c r="C79">
        <v>83</v>
      </c>
      <c r="D79">
        <v>83</v>
      </c>
      <c r="E79">
        <v>41287</v>
      </c>
      <c r="F79">
        <v>0</v>
      </c>
      <c r="G79">
        <v>341</v>
      </c>
      <c r="H79">
        <v>150302</v>
      </c>
      <c r="I79">
        <v>0.17199999999999999</v>
      </c>
      <c r="J79">
        <v>-2526000</v>
      </c>
      <c r="K79">
        <v>-6271000</v>
      </c>
      <c r="L79">
        <v>487800</v>
      </c>
      <c r="M79">
        <v>4097</v>
      </c>
      <c r="N79">
        <v>-1178</v>
      </c>
      <c r="O79">
        <v>6017</v>
      </c>
      <c r="P79">
        <v>4.0257096289999996</v>
      </c>
      <c r="Q79">
        <v>-112.0340271</v>
      </c>
      <c r="R79">
        <v>399978.8125</v>
      </c>
    </row>
    <row r="80" spans="1:18" x14ac:dyDescent="0.25">
      <c r="A80">
        <v>2161</v>
      </c>
      <c r="B80">
        <v>49422</v>
      </c>
      <c r="C80">
        <v>83</v>
      </c>
      <c r="D80">
        <v>83</v>
      </c>
      <c r="E80">
        <v>57671</v>
      </c>
      <c r="F80">
        <v>0</v>
      </c>
      <c r="G80">
        <v>341</v>
      </c>
      <c r="H80">
        <v>150302</v>
      </c>
      <c r="I80">
        <v>0.42199999999999999</v>
      </c>
      <c r="J80">
        <v>-2525000</v>
      </c>
      <c r="K80">
        <v>-6271000</v>
      </c>
      <c r="L80">
        <v>489300</v>
      </c>
      <c r="M80">
        <v>4098</v>
      </c>
      <c r="N80">
        <v>-1176</v>
      </c>
      <c r="O80">
        <v>6017</v>
      </c>
      <c r="P80">
        <v>4.0257096289999996</v>
      </c>
      <c r="Q80">
        <v>-112.0340271</v>
      </c>
      <c r="R80">
        <v>399978.8125</v>
      </c>
    </row>
    <row r="81" spans="1:18" x14ac:dyDescent="0.25">
      <c r="A81">
        <v>2161</v>
      </c>
      <c r="B81">
        <v>49423</v>
      </c>
      <c r="C81">
        <v>83</v>
      </c>
      <c r="D81">
        <v>84</v>
      </c>
      <c r="E81">
        <v>8519</v>
      </c>
      <c r="F81">
        <v>0</v>
      </c>
      <c r="G81">
        <v>341</v>
      </c>
      <c r="H81">
        <v>150302</v>
      </c>
      <c r="I81">
        <v>0.67200000000000004</v>
      </c>
      <c r="J81">
        <v>-2524000</v>
      </c>
      <c r="K81">
        <v>-6271000</v>
      </c>
      <c r="L81">
        <v>490800</v>
      </c>
      <c r="M81">
        <v>4099</v>
      </c>
      <c r="N81">
        <v>-1174</v>
      </c>
      <c r="O81">
        <v>6017</v>
      </c>
      <c r="P81">
        <v>4.0257096289999996</v>
      </c>
      <c r="Q81">
        <v>-112.0340271</v>
      </c>
      <c r="R81">
        <v>399978.8125</v>
      </c>
    </row>
    <row r="82" spans="1:18" x14ac:dyDescent="0.25">
      <c r="A82">
        <v>2161</v>
      </c>
      <c r="B82">
        <v>49424</v>
      </c>
      <c r="C82">
        <v>83</v>
      </c>
      <c r="D82">
        <v>84</v>
      </c>
      <c r="E82">
        <v>24903</v>
      </c>
      <c r="F82">
        <v>0</v>
      </c>
      <c r="G82">
        <v>341</v>
      </c>
      <c r="H82">
        <v>150302</v>
      </c>
      <c r="I82">
        <v>0.92200000000000004</v>
      </c>
      <c r="J82">
        <v>-2523000</v>
      </c>
      <c r="K82">
        <v>-6271000</v>
      </c>
      <c r="L82">
        <v>492300</v>
      </c>
      <c r="M82">
        <v>4100</v>
      </c>
      <c r="N82">
        <v>-1173</v>
      </c>
      <c r="O82">
        <v>6017</v>
      </c>
      <c r="P82">
        <v>4.0257096289999996</v>
      </c>
      <c r="Q82">
        <v>-112.0340271</v>
      </c>
      <c r="R82">
        <v>399978.8125</v>
      </c>
    </row>
    <row r="83" spans="1:18" x14ac:dyDescent="0.25">
      <c r="A83">
        <v>2161</v>
      </c>
      <c r="B83">
        <v>49425</v>
      </c>
      <c r="C83">
        <v>83</v>
      </c>
      <c r="D83">
        <v>84</v>
      </c>
      <c r="E83">
        <v>41287</v>
      </c>
      <c r="F83">
        <v>0</v>
      </c>
      <c r="G83">
        <v>341</v>
      </c>
      <c r="H83">
        <v>150303</v>
      </c>
      <c r="I83">
        <v>0.17199999999999999</v>
      </c>
      <c r="J83">
        <v>-2522000</v>
      </c>
      <c r="K83">
        <v>-6272000</v>
      </c>
      <c r="L83">
        <v>493700</v>
      </c>
      <c r="M83">
        <v>4101</v>
      </c>
      <c r="N83">
        <v>-1171</v>
      </c>
      <c r="O83">
        <v>6017</v>
      </c>
      <c r="P83">
        <v>4.0257096289999996</v>
      </c>
      <c r="Q83">
        <v>-112.0340271</v>
      </c>
      <c r="R83">
        <v>399978.8125</v>
      </c>
    </row>
    <row r="84" spans="1:18" x14ac:dyDescent="0.25">
      <c r="A84">
        <v>2161</v>
      </c>
      <c r="B84">
        <v>49426</v>
      </c>
      <c r="C84">
        <v>83</v>
      </c>
      <c r="D84">
        <v>84</v>
      </c>
      <c r="E84">
        <v>57671</v>
      </c>
      <c r="F84">
        <v>0</v>
      </c>
      <c r="G84">
        <v>341</v>
      </c>
      <c r="H84">
        <v>150303</v>
      </c>
      <c r="I84">
        <v>0.42199999999999999</v>
      </c>
      <c r="J84">
        <v>-2521000</v>
      </c>
      <c r="K84">
        <v>-6272000</v>
      </c>
      <c r="L84">
        <v>495200</v>
      </c>
      <c r="M84">
        <v>4101</v>
      </c>
      <c r="N84">
        <v>-1169</v>
      </c>
      <c r="O84">
        <v>6016</v>
      </c>
      <c r="P84">
        <v>4.0257096289999996</v>
      </c>
      <c r="Q84">
        <v>-112.0340271</v>
      </c>
      <c r="R84">
        <v>399978.8125</v>
      </c>
    </row>
    <row r="85" spans="1:18" x14ac:dyDescent="0.25">
      <c r="A85">
        <v>2161</v>
      </c>
      <c r="B85">
        <v>49427</v>
      </c>
      <c r="C85">
        <v>83</v>
      </c>
      <c r="D85">
        <v>85</v>
      </c>
      <c r="E85">
        <v>8519</v>
      </c>
      <c r="F85">
        <v>0</v>
      </c>
      <c r="G85">
        <v>341</v>
      </c>
      <c r="H85">
        <v>150303</v>
      </c>
      <c r="I85">
        <v>0.42199999999999999</v>
      </c>
      <c r="J85">
        <v>-2521000</v>
      </c>
      <c r="K85">
        <v>-6272000</v>
      </c>
      <c r="L85">
        <v>495200</v>
      </c>
      <c r="M85">
        <v>4101</v>
      </c>
      <c r="N85">
        <v>-1169</v>
      </c>
      <c r="O85">
        <v>6016</v>
      </c>
      <c r="P85">
        <v>4.0257096289999996</v>
      </c>
      <c r="Q85">
        <v>-112.0340271</v>
      </c>
      <c r="R85">
        <v>399978.8125</v>
      </c>
    </row>
    <row r="86" spans="1:18" x14ac:dyDescent="0.25">
      <c r="A86">
        <v>2161</v>
      </c>
      <c r="B86">
        <v>49428</v>
      </c>
      <c r="C86">
        <v>83</v>
      </c>
      <c r="D86">
        <v>85</v>
      </c>
      <c r="E86">
        <v>24903</v>
      </c>
      <c r="F86">
        <v>0</v>
      </c>
      <c r="G86">
        <v>341</v>
      </c>
      <c r="H86">
        <v>150303</v>
      </c>
      <c r="I86">
        <v>0.42199999999999999</v>
      </c>
      <c r="J86">
        <v>-2521000</v>
      </c>
      <c r="K86">
        <v>-6272000</v>
      </c>
      <c r="L86">
        <v>495200</v>
      </c>
      <c r="M86">
        <v>4101</v>
      </c>
      <c r="N86">
        <v>-1169</v>
      </c>
      <c r="O86">
        <v>6016</v>
      </c>
      <c r="P86">
        <v>4.0257096289999996</v>
      </c>
      <c r="Q86">
        <v>-112.0340271</v>
      </c>
      <c r="R86">
        <v>399978.8125</v>
      </c>
    </row>
    <row r="87" spans="1:18" x14ac:dyDescent="0.25">
      <c r="A87">
        <v>2161</v>
      </c>
      <c r="B87">
        <v>49429</v>
      </c>
      <c r="C87">
        <v>83</v>
      </c>
      <c r="D87">
        <v>85</v>
      </c>
      <c r="E87">
        <v>41287</v>
      </c>
      <c r="F87">
        <v>0</v>
      </c>
      <c r="G87">
        <v>341</v>
      </c>
      <c r="H87">
        <v>150303</v>
      </c>
      <c r="I87">
        <v>0.42199999999999999</v>
      </c>
      <c r="J87">
        <v>-2521000</v>
      </c>
      <c r="K87">
        <v>-6272000</v>
      </c>
      <c r="L87">
        <v>495200</v>
      </c>
      <c r="M87">
        <v>4101</v>
      </c>
      <c r="N87">
        <v>-1169</v>
      </c>
      <c r="O87">
        <v>6016</v>
      </c>
      <c r="P87">
        <v>4.0257096289999996</v>
      </c>
      <c r="Q87">
        <v>-112.0340271</v>
      </c>
      <c r="R87">
        <v>399978.8125</v>
      </c>
    </row>
    <row r="88" spans="1:18" x14ac:dyDescent="0.25">
      <c r="A88">
        <v>2161</v>
      </c>
      <c r="B88">
        <v>49430</v>
      </c>
      <c r="C88">
        <v>83</v>
      </c>
      <c r="D88">
        <v>85</v>
      </c>
      <c r="E88">
        <v>57671</v>
      </c>
      <c r="F88">
        <v>0</v>
      </c>
      <c r="G88">
        <v>341</v>
      </c>
      <c r="H88">
        <v>150303</v>
      </c>
      <c r="I88">
        <v>0.42199999999999999</v>
      </c>
      <c r="J88">
        <v>-2521000</v>
      </c>
      <c r="K88">
        <v>-6272000</v>
      </c>
      <c r="L88">
        <v>495200</v>
      </c>
      <c r="M88">
        <v>4101</v>
      </c>
      <c r="N88">
        <v>-1169</v>
      </c>
      <c r="O88">
        <v>6016</v>
      </c>
      <c r="P88">
        <v>4.0257096289999996</v>
      </c>
      <c r="Q88">
        <v>-112.0340271</v>
      </c>
      <c r="R88">
        <v>399978.8125</v>
      </c>
    </row>
    <row r="89" spans="1:18" x14ac:dyDescent="0.25">
      <c r="A89">
        <v>2161</v>
      </c>
      <c r="B89">
        <v>49431</v>
      </c>
      <c r="C89">
        <v>83</v>
      </c>
      <c r="D89">
        <v>86</v>
      </c>
      <c r="E89">
        <v>8519</v>
      </c>
      <c r="F89">
        <v>0</v>
      </c>
      <c r="G89">
        <v>341</v>
      </c>
      <c r="H89">
        <v>150303</v>
      </c>
      <c r="I89">
        <v>0.42199999999999999</v>
      </c>
      <c r="J89">
        <v>-2521000</v>
      </c>
      <c r="K89">
        <v>-6272000</v>
      </c>
      <c r="L89">
        <v>495200</v>
      </c>
      <c r="M89">
        <v>4101</v>
      </c>
      <c r="N89">
        <v>-1169</v>
      </c>
      <c r="O89">
        <v>6016</v>
      </c>
      <c r="P89">
        <v>4.0257096289999996</v>
      </c>
      <c r="Q89">
        <v>-112.0340271</v>
      </c>
      <c r="R89">
        <v>399978.8125</v>
      </c>
    </row>
    <row r="90" spans="1:18" x14ac:dyDescent="0.25">
      <c r="A90">
        <v>2161</v>
      </c>
      <c r="B90">
        <v>49432</v>
      </c>
      <c r="C90">
        <v>83</v>
      </c>
      <c r="D90">
        <v>86</v>
      </c>
      <c r="E90">
        <v>57671</v>
      </c>
      <c r="F90">
        <v>0</v>
      </c>
      <c r="G90">
        <v>341</v>
      </c>
      <c r="H90">
        <v>150303</v>
      </c>
      <c r="I90">
        <v>0.42199999999999999</v>
      </c>
      <c r="J90">
        <v>-2521000</v>
      </c>
      <c r="K90">
        <v>-6272000</v>
      </c>
      <c r="L90">
        <v>495200</v>
      </c>
      <c r="M90">
        <v>4101</v>
      </c>
      <c r="N90">
        <v>-1169</v>
      </c>
      <c r="O90">
        <v>6016</v>
      </c>
      <c r="P90">
        <v>4.0257096289999996</v>
      </c>
      <c r="Q90">
        <v>-112.0340271</v>
      </c>
      <c r="R90">
        <v>399978.8125</v>
      </c>
    </row>
    <row r="91" spans="1:18" x14ac:dyDescent="0.25">
      <c r="A91">
        <v>2161</v>
      </c>
      <c r="B91">
        <v>49433</v>
      </c>
      <c r="C91">
        <v>83</v>
      </c>
      <c r="D91">
        <v>87</v>
      </c>
      <c r="E91">
        <v>8519</v>
      </c>
      <c r="F91">
        <v>0</v>
      </c>
      <c r="G91">
        <v>341</v>
      </c>
      <c r="H91">
        <v>150303</v>
      </c>
      <c r="I91">
        <v>0.42199999999999999</v>
      </c>
      <c r="J91">
        <v>-2521000</v>
      </c>
      <c r="K91">
        <v>-6272000</v>
      </c>
      <c r="L91">
        <v>495200</v>
      </c>
      <c r="M91">
        <v>4101</v>
      </c>
      <c r="N91">
        <v>-1169</v>
      </c>
      <c r="O91">
        <v>6016</v>
      </c>
      <c r="P91">
        <v>4.0257096289999996</v>
      </c>
      <c r="Q91">
        <v>-112.0340271</v>
      </c>
      <c r="R91">
        <v>399978.8125</v>
      </c>
    </row>
    <row r="92" spans="1:18" x14ac:dyDescent="0.25">
      <c r="A92">
        <v>2161</v>
      </c>
      <c r="B92">
        <v>49434</v>
      </c>
      <c r="C92">
        <v>83</v>
      </c>
      <c r="D92">
        <v>87</v>
      </c>
      <c r="E92">
        <v>24903</v>
      </c>
      <c r="F92">
        <v>0</v>
      </c>
      <c r="G92">
        <v>341</v>
      </c>
      <c r="H92">
        <v>150303</v>
      </c>
      <c r="I92">
        <v>0.42199999999999999</v>
      </c>
      <c r="J92">
        <v>-2521000</v>
      </c>
      <c r="K92">
        <v>-6272000</v>
      </c>
      <c r="L92">
        <v>495200</v>
      </c>
      <c r="M92">
        <v>4101</v>
      </c>
      <c r="N92">
        <v>-1169</v>
      </c>
      <c r="O92">
        <v>6016</v>
      </c>
      <c r="P92">
        <v>4.0257096289999996</v>
      </c>
      <c r="Q92">
        <v>-112.0340271</v>
      </c>
      <c r="R92">
        <v>399978.8125</v>
      </c>
    </row>
    <row r="93" spans="1:18" x14ac:dyDescent="0.25">
      <c r="A93">
        <v>2161</v>
      </c>
      <c r="B93">
        <v>49435</v>
      </c>
      <c r="C93">
        <v>83</v>
      </c>
      <c r="D93">
        <v>87</v>
      </c>
      <c r="E93">
        <v>41287</v>
      </c>
      <c r="F93">
        <v>0</v>
      </c>
      <c r="G93">
        <v>341</v>
      </c>
      <c r="H93">
        <v>150303</v>
      </c>
      <c r="I93">
        <v>0.42199999999999999</v>
      </c>
      <c r="J93">
        <v>-2521000</v>
      </c>
      <c r="K93">
        <v>-6272000</v>
      </c>
      <c r="L93">
        <v>495200</v>
      </c>
      <c r="M93">
        <v>4101</v>
      </c>
      <c r="N93">
        <v>-1169</v>
      </c>
      <c r="O93">
        <v>6016</v>
      </c>
      <c r="P93">
        <v>4.0257096289999996</v>
      </c>
      <c r="Q93">
        <v>-112.0340271</v>
      </c>
      <c r="R93">
        <v>399978.8125</v>
      </c>
    </row>
    <row r="94" spans="1:18" x14ac:dyDescent="0.25">
      <c r="A94">
        <v>2161</v>
      </c>
      <c r="B94">
        <v>49436</v>
      </c>
      <c r="C94">
        <v>83</v>
      </c>
      <c r="D94">
        <v>87</v>
      </c>
      <c r="E94">
        <v>57671</v>
      </c>
      <c r="F94">
        <v>0</v>
      </c>
      <c r="G94">
        <v>341</v>
      </c>
      <c r="H94">
        <v>150303</v>
      </c>
      <c r="I94">
        <v>0.42199999999999999</v>
      </c>
      <c r="J94">
        <v>-2521000</v>
      </c>
      <c r="K94">
        <v>-6272000</v>
      </c>
      <c r="L94">
        <v>495200</v>
      </c>
      <c r="M94">
        <v>4101</v>
      </c>
      <c r="N94">
        <v>-1169</v>
      </c>
      <c r="O94">
        <v>6016</v>
      </c>
      <c r="P94">
        <v>4.0257096289999996</v>
      </c>
      <c r="Q94">
        <v>-112.0340271</v>
      </c>
      <c r="R94">
        <v>399978.8125</v>
      </c>
    </row>
    <row r="95" spans="1:18" x14ac:dyDescent="0.25">
      <c r="A95">
        <v>2161</v>
      </c>
      <c r="B95">
        <v>49437</v>
      </c>
      <c r="C95">
        <v>83</v>
      </c>
      <c r="D95">
        <v>88</v>
      </c>
      <c r="E95">
        <v>8519</v>
      </c>
      <c r="F95">
        <v>0</v>
      </c>
      <c r="G95">
        <v>341</v>
      </c>
      <c r="H95">
        <v>150303</v>
      </c>
      <c r="I95">
        <v>0.42199999999999999</v>
      </c>
      <c r="J95">
        <v>-2521000</v>
      </c>
      <c r="K95">
        <v>-6272000</v>
      </c>
      <c r="L95">
        <v>495200</v>
      </c>
      <c r="M95">
        <v>4101</v>
      </c>
      <c r="N95">
        <v>-1169</v>
      </c>
      <c r="O95">
        <v>6016</v>
      </c>
      <c r="P95">
        <v>4.0257096289999996</v>
      </c>
      <c r="Q95">
        <v>-112.0340271</v>
      </c>
      <c r="R95">
        <v>399978.8125</v>
      </c>
    </row>
    <row r="96" spans="1:18" x14ac:dyDescent="0.25">
      <c r="A96">
        <v>2161</v>
      </c>
      <c r="B96">
        <v>49438</v>
      </c>
      <c r="C96">
        <v>83</v>
      </c>
      <c r="D96">
        <v>88</v>
      </c>
      <c r="E96">
        <v>24903</v>
      </c>
      <c r="F96">
        <v>0</v>
      </c>
      <c r="G96">
        <v>341</v>
      </c>
      <c r="H96">
        <v>150303</v>
      </c>
      <c r="I96">
        <v>0.42199999999999999</v>
      </c>
      <c r="J96">
        <v>-2521000</v>
      </c>
      <c r="K96">
        <v>-6272000</v>
      </c>
      <c r="L96">
        <v>495200</v>
      </c>
      <c r="M96">
        <v>4101</v>
      </c>
      <c r="N96">
        <v>-1169</v>
      </c>
      <c r="O96">
        <v>6016</v>
      </c>
      <c r="P96">
        <v>4.0257096289999996</v>
      </c>
      <c r="Q96">
        <v>-112.0340271</v>
      </c>
      <c r="R96">
        <v>399978.8125</v>
      </c>
    </row>
    <row r="97" spans="1:18" x14ac:dyDescent="0.25">
      <c r="A97">
        <v>2161</v>
      </c>
      <c r="B97">
        <v>49439</v>
      </c>
      <c r="C97">
        <v>83</v>
      </c>
      <c r="D97">
        <v>88</v>
      </c>
      <c r="E97">
        <v>41287</v>
      </c>
      <c r="F97">
        <v>0</v>
      </c>
      <c r="G97">
        <v>341</v>
      </c>
      <c r="H97">
        <v>150303</v>
      </c>
      <c r="I97">
        <v>0.42199999999999999</v>
      </c>
      <c r="J97">
        <v>-2521000</v>
      </c>
      <c r="K97">
        <v>-6272000</v>
      </c>
      <c r="L97">
        <v>495200</v>
      </c>
      <c r="M97">
        <v>4101</v>
      </c>
      <c r="N97">
        <v>-1169</v>
      </c>
      <c r="O97">
        <v>6016</v>
      </c>
      <c r="P97">
        <v>4.0257096289999996</v>
      </c>
      <c r="Q97">
        <v>-112.0340271</v>
      </c>
      <c r="R97">
        <v>399978.8125</v>
      </c>
    </row>
    <row r="98" spans="1:18" x14ac:dyDescent="0.25">
      <c r="A98">
        <v>2161</v>
      </c>
      <c r="B98">
        <v>49440</v>
      </c>
      <c r="C98">
        <v>83</v>
      </c>
      <c r="D98">
        <v>88</v>
      </c>
      <c r="E98">
        <v>57671</v>
      </c>
      <c r="F98">
        <v>0</v>
      </c>
      <c r="G98">
        <v>341</v>
      </c>
      <c r="H98">
        <v>150303</v>
      </c>
      <c r="I98">
        <v>0.42199999999999999</v>
      </c>
      <c r="J98">
        <v>-2521000</v>
      </c>
      <c r="K98">
        <v>-6272000</v>
      </c>
      <c r="L98">
        <v>495200</v>
      </c>
      <c r="M98">
        <v>4101</v>
      </c>
      <c r="N98">
        <v>-1169</v>
      </c>
      <c r="O98">
        <v>6016</v>
      </c>
      <c r="P98">
        <v>4.0257096289999996</v>
      </c>
      <c r="Q98">
        <v>-112.0340271</v>
      </c>
      <c r="R98">
        <v>399978.8125</v>
      </c>
    </row>
    <row r="99" spans="1:18" x14ac:dyDescent="0.25">
      <c r="A99">
        <v>2161</v>
      </c>
      <c r="B99">
        <v>49441</v>
      </c>
      <c r="C99">
        <v>83</v>
      </c>
      <c r="D99">
        <v>89</v>
      </c>
      <c r="E99">
        <v>8519</v>
      </c>
      <c r="F99">
        <v>0</v>
      </c>
      <c r="G99">
        <v>341</v>
      </c>
      <c r="H99">
        <v>150303</v>
      </c>
      <c r="I99">
        <v>0.42199999999999999</v>
      </c>
      <c r="J99">
        <v>-2521000</v>
      </c>
      <c r="K99">
        <v>-6272000</v>
      </c>
      <c r="L99">
        <v>495200</v>
      </c>
      <c r="M99">
        <v>4101</v>
      </c>
      <c r="N99">
        <v>-1169</v>
      </c>
      <c r="O99">
        <v>6016</v>
      </c>
      <c r="P99">
        <v>4.0257096289999996</v>
      </c>
      <c r="Q99">
        <v>-112.0340271</v>
      </c>
      <c r="R99">
        <v>399978.8125</v>
      </c>
    </row>
    <row r="100" spans="1:18" x14ac:dyDescent="0.25">
      <c r="A100">
        <v>2161</v>
      </c>
      <c r="B100">
        <v>49442</v>
      </c>
      <c r="C100">
        <v>83</v>
      </c>
      <c r="D100">
        <v>89</v>
      </c>
      <c r="E100">
        <v>24903</v>
      </c>
      <c r="F100">
        <v>0</v>
      </c>
      <c r="G100">
        <v>341</v>
      </c>
      <c r="H100">
        <v>150303</v>
      </c>
      <c r="I100">
        <v>0.42199999999999999</v>
      </c>
      <c r="J100">
        <v>-2521000</v>
      </c>
      <c r="K100">
        <v>-6272000</v>
      </c>
      <c r="L100">
        <v>495200</v>
      </c>
      <c r="M100">
        <v>4101</v>
      </c>
      <c r="N100">
        <v>-1169</v>
      </c>
      <c r="O100">
        <v>6016</v>
      </c>
      <c r="P100">
        <v>4.0257096289999996</v>
      </c>
      <c r="Q100">
        <v>-112.0340271</v>
      </c>
      <c r="R100">
        <v>399978.8125</v>
      </c>
    </row>
    <row r="101" spans="1:18" x14ac:dyDescent="0.25">
      <c r="A101">
        <v>2161</v>
      </c>
      <c r="B101">
        <v>49443</v>
      </c>
      <c r="C101">
        <v>83</v>
      </c>
      <c r="D101">
        <v>89</v>
      </c>
      <c r="E101">
        <v>41287</v>
      </c>
      <c r="F101">
        <v>0</v>
      </c>
      <c r="G101">
        <v>341</v>
      </c>
      <c r="H101">
        <v>150303</v>
      </c>
      <c r="I101">
        <v>0.42199999999999999</v>
      </c>
      <c r="J101">
        <v>-2521000</v>
      </c>
      <c r="K101">
        <v>-6272000</v>
      </c>
      <c r="L101">
        <v>495200</v>
      </c>
      <c r="M101">
        <v>4101</v>
      </c>
      <c r="N101">
        <v>-1169</v>
      </c>
      <c r="O101">
        <v>6016</v>
      </c>
      <c r="P101">
        <v>4.0257096289999996</v>
      </c>
      <c r="Q101">
        <v>-112.0340271</v>
      </c>
      <c r="R101">
        <v>399978.8125</v>
      </c>
    </row>
    <row r="102" spans="1:18" x14ac:dyDescent="0.25">
      <c r="A102">
        <v>2161</v>
      </c>
      <c r="B102">
        <v>49444</v>
      </c>
      <c r="C102">
        <v>83</v>
      </c>
      <c r="D102">
        <v>89</v>
      </c>
      <c r="E102">
        <v>57671</v>
      </c>
      <c r="F102">
        <v>0</v>
      </c>
      <c r="G102">
        <v>341</v>
      </c>
      <c r="H102">
        <v>150303</v>
      </c>
      <c r="I102">
        <v>0.42199999999999999</v>
      </c>
      <c r="J102">
        <v>-2521000</v>
      </c>
      <c r="K102">
        <v>-6272000</v>
      </c>
      <c r="L102">
        <v>495200</v>
      </c>
      <c r="M102">
        <v>4101</v>
      </c>
      <c r="N102">
        <v>-1169</v>
      </c>
      <c r="O102">
        <v>6016</v>
      </c>
      <c r="P102">
        <v>4.0257096289999996</v>
      </c>
      <c r="Q102">
        <v>-112.0340271</v>
      </c>
      <c r="R102">
        <v>399978.8125</v>
      </c>
    </row>
    <row r="103" spans="1:18" x14ac:dyDescent="0.25">
      <c r="A103">
        <v>2161</v>
      </c>
      <c r="B103">
        <v>49445</v>
      </c>
      <c r="C103">
        <v>83</v>
      </c>
      <c r="D103">
        <v>90</v>
      </c>
      <c r="E103">
        <v>8519</v>
      </c>
      <c r="F103">
        <v>0</v>
      </c>
      <c r="G103">
        <v>341</v>
      </c>
      <c r="H103">
        <v>150303</v>
      </c>
      <c r="I103">
        <v>0.42199999999999999</v>
      </c>
      <c r="J103">
        <v>-2521000</v>
      </c>
      <c r="K103">
        <v>-6272000</v>
      </c>
      <c r="L103">
        <v>495200</v>
      </c>
      <c r="M103">
        <v>4101</v>
      </c>
      <c r="N103">
        <v>-1169</v>
      </c>
      <c r="O103">
        <v>6016</v>
      </c>
      <c r="P103">
        <v>4.0257096289999996</v>
      </c>
      <c r="Q103">
        <v>-112.0340271</v>
      </c>
      <c r="R103">
        <v>399978.8125</v>
      </c>
    </row>
    <row r="104" spans="1:18" x14ac:dyDescent="0.25">
      <c r="A104">
        <v>2161</v>
      </c>
      <c r="B104">
        <v>49446</v>
      </c>
      <c r="C104">
        <v>83</v>
      </c>
      <c r="D104">
        <v>90</v>
      </c>
      <c r="E104">
        <v>24903</v>
      </c>
      <c r="F104">
        <v>0</v>
      </c>
      <c r="G104">
        <v>341</v>
      </c>
      <c r="H104">
        <v>150303</v>
      </c>
      <c r="I104">
        <v>0.42199999999999999</v>
      </c>
      <c r="J104">
        <v>-2521000</v>
      </c>
      <c r="K104">
        <v>-6272000</v>
      </c>
      <c r="L104">
        <v>495200</v>
      </c>
      <c r="M104">
        <v>4101</v>
      </c>
      <c r="N104">
        <v>-1169</v>
      </c>
      <c r="O104">
        <v>6016</v>
      </c>
      <c r="P104">
        <v>4.0257096289999996</v>
      </c>
      <c r="Q104">
        <v>-112.0340271</v>
      </c>
      <c r="R104">
        <v>399978.8125</v>
      </c>
    </row>
    <row r="105" spans="1:18" x14ac:dyDescent="0.25">
      <c r="A105">
        <v>2161</v>
      </c>
      <c r="B105">
        <v>49447</v>
      </c>
      <c r="C105">
        <v>83</v>
      </c>
      <c r="D105">
        <v>90</v>
      </c>
      <c r="E105">
        <v>41287</v>
      </c>
      <c r="F105">
        <v>0</v>
      </c>
      <c r="G105">
        <v>341</v>
      </c>
      <c r="H105">
        <v>150303</v>
      </c>
      <c r="I105">
        <v>0.42199999999999999</v>
      </c>
      <c r="J105">
        <v>-2521000</v>
      </c>
      <c r="K105">
        <v>-6272000</v>
      </c>
      <c r="L105">
        <v>495200</v>
      </c>
      <c r="M105">
        <v>4101</v>
      </c>
      <c r="N105">
        <v>-1169</v>
      </c>
      <c r="O105">
        <v>6016</v>
      </c>
      <c r="P105">
        <v>4.0257096289999996</v>
      </c>
      <c r="Q105">
        <v>-112.0340271</v>
      </c>
      <c r="R105">
        <v>399978.8125</v>
      </c>
    </row>
    <row r="106" spans="1:18" x14ac:dyDescent="0.25">
      <c r="A106">
        <v>2161</v>
      </c>
      <c r="B106">
        <v>49448</v>
      </c>
      <c r="C106">
        <v>83</v>
      </c>
      <c r="D106">
        <v>90</v>
      </c>
      <c r="E106">
        <v>57671</v>
      </c>
      <c r="F106">
        <v>0</v>
      </c>
      <c r="G106">
        <v>341</v>
      </c>
      <c r="H106">
        <v>150303</v>
      </c>
      <c r="I106">
        <v>0.42199999999999999</v>
      </c>
      <c r="J106">
        <v>-2521000</v>
      </c>
      <c r="K106">
        <v>-6272000</v>
      </c>
      <c r="L106">
        <v>495200</v>
      </c>
      <c r="M106">
        <v>4101</v>
      </c>
      <c r="N106">
        <v>-1169</v>
      </c>
      <c r="O106">
        <v>6016</v>
      </c>
      <c r="P106">
        <v>4.0257096289999996</v>
      </c>
      <c r="Q106">
        <v>-112.0340271</v>
      </c>
      <c r="R106">
        <v>399978.8125</v>
      </c>
    </row>
    <row r="107" spans="1:18" x14ac:dyDescent="0.25">
      <c r="A107">
        <v>2161</v>
      </c>
      <c r="B107">
        <v>49449</v>
      </c>
      <c r="C107">
        <v>83</v>
      </c>
      <c r="D107">
        <v>91</v>
      </c>
      <c r="E107">
        <v>8519</v>
      </c>
      <c r="F107">
        <v>0</v>
      </c>
      <c r="G107">
        <v>341</v>
      </c>
      <c r="H107">
        <v>150303</v>
      </c>
      <c r="I107">
        <v>0.42199999999999999</v>
      </c>
      <c r="J107">
        <v>-2521000</v>
      </c>
      <c r="K107">
        <v>-6272000</v>
      </c>
      <c r="L107">
        <v>495200</v>
      </c>
      <c r="M107">
        <v>4101</v>
      </c>
      <c r="N107">
        <v>-1169</v>
      </c>
      <c r="O107">
        <v>6016</v>
      </c>
      <c r="P107">
        <v>4.0257096289999996</v>
      </c>
      <c r="Q107">
        <v>-112.0340271</v>
      </c>
      <c r="R107">
        <v>399978.8125</v>
      </c>
    </row>
    <row r="108" spans="1:18" x14ac:dyDescent="0.25">
      <c r="A108">
        <v>2161</v>
      </c>
      <c r="B108">
        <v>49450</v>
      </c>
      <c r="C108">
        <v>83</v>
      </c>
      <c r="D108">
        <v>91</v>
      </c>
      <c r="E108">
        <v>25559</v>
      </c>
      <c r="F108">
        <v>0</v>
      </c>
      <c r="G108">
        <v>341</v>
      </c>
      <c r="H108">
        <v>150303</v>
      </c>
      <c r="I108">
        <v>0.42199999999999999</v>
      </c>
      <c r="J108">
        <v>-2521000</v>
      </c>
      <c r="K108">
        <v>-6272000</v>
      </c>
      <c r="L108">
        <v>495200</v>
      </c>
      <c r="M108">
        <v>4101</v>
      </c>
      <c r="N108">
        <v>-1169</v>
      </c>
      <c r="O108">
        <v>6016</v>
      </c>
      <c r="P108">
        <v>4.0257096289999996</v>
      </c>
      <c r="Q108">
        <v>-112.0340271</v>
      </c>
      <c r="R108">
        <v>399978.8125</v>
      </c>
    </row>
    <row r="109" spans="1:18" x14ac:dyDescent="0.25">
      <c r="A109">
        <v>2161</v>
      </c>
      <c r="B109">
        <v>49451</v>
      </c>
      <c r="C109">
        <v>83</v>
      </c>
      <c r="D109">
        <v>91</v>
      </c>
      <c r="E109">
        <v>41943</v>
      </c>
      <c r="F109">
        <v>0</v>
      </c>
      <c r="G109">
        <v>341</v>
      </c>
      <c r="H109">
        <v>150303</v>
      </c>
      <c r="I109">
        <v>0.42199999999999999</v>
      </c>
      <c r="J109">
        <v>-2521000</v>
      </c>
      <c r="K109">
        <v>-6272000</v>
      </c>
      <c r="L109">
        <v>495200</v>
      </c>
      <c r="M109">
        <v>4101</v>
      </c>
      <c r="N109">
        <v>-1169</v>
      </c>
      <c r="O109">
        <v>6016</v>
      </c>
      <c r="P109">
        <v>4.0257096289999996</v>
      </c>
      <c r="Q109">
        <v>-112.0340271</v>
      </c>
      <c r="R109">
        <v>399978.8125</v>
      </c>
    </row>
    <row r="110" spans="1:18" x14ac:dyDescent="0.25">
      <c r="A110">
        <v>2161</v>
      </c>
      <c r="B110">
        <v>49452</v>
      </c>
      <c r="C110">
        <v>83</v>
      </c>
      <c r="D110">
        <v>91</v>
      </c>
      <c r="E110">
        <v>58327</v>
      </c>
      <c r="F110">
        <v>0</v>
      </c>
      <c r="G110">
        <v>341</v>
      </c>
      <c r="H110">
        <v>150303</v>
      </c>
      <c r="I110">
        <v>0.42199999999999999</v>
      </c>
      <c r="J110">
        <v>-2521000</v>
      </c>
      <c r="K110">
        <v>-6272000</v>
      </c>
      <c r="L110">
        <v>495200</v>
      </c>
      <c r="M110">
        <v>4101</v>
      </c>
      <c r="N110">
        <v>-1169</v>
      </c>
      <c r="O110">
        <v>6016</v>
      </c>
      <c r="P110">
        <v>4.0257096289999996</v>
      </c>
      <c r="Q110">
        <v>-112.0340271</v>
      </c>
      <c r="R110">
        <v>399978.8125</v>
      </c>
    </row>
    <row r="111" spans="1:18" x14ac:dyDescent="0.25">
      <c r="A111">
        <v>2161</v>
      </c>
      <c r="B111">
        <v>49453</v>
      </c>
      <c r="C111">
        <v>83</v>
      </c>
      <c r="D111">
        <v>92</v>
      </c>
      <c r="E111">
        <v>9175</v>
      </c>
      <c r="F111">
        <v>0</v>
      </c>
      <c r="G111">
        <v>341</v>
      </c>
      <c r="H111">
        <v>150303</v>
      </c>
      <c r="I111">
        <v>0.42199999999999999</v>
      </c>
      <c r="J111">
        <v>-2521000</v>
      </c>
      <c r="K111">
        <v>-6272000</v>
      </c>
      <c r="L111">
        <v>495200</v>
      </c>
      <c r="M111">
        <v>4101</v>
      </c>
      <c r="N111">
        <v>-1169</v>
      </c>
      <c r="O111">
        <v>6016</v>
      </c>
      <c r="P111">
        <v>4.0257096289999996</v>
      </c>
      <c r="Q111">
        <v>-112.0340271</v>
      </c>
      <c r="R111">
        <v>399978.8125</v>
      </c>
    </row>
    <row r="112" spans="1:18" x14ac:dyDescent="0.25">
      <c r="A112">
        <v>2161</v>
      </c>
      <c r="B112">
        <v>49454</v>
      </c>
      <c r="C112">
        <v>83</v>
      </c>
      <c r="D112">
        <v>92</v>
      </c>
      <c r="E112">
        <v>25559</v>
      </c>
      <c r="F112">
        <v>0</v>
      </c>
      <c r="G112">
        <v>341</v>
      </c>
      <c r="H112">
        <v>150303</v>
      </c>
      <c r="I112">
        <v>0.42199999999999999</v>
      </c>
      <c r="J112">
        <v>-2521000</v>
      </c>
      <c r="K112">
        <v>-6272000</v>
      </c>
      <c r="L112">
        <v>495200</v>
      </c>
      <c r="M112">
        <v>4101</v>
      </c>
      <c r="N112">
        <v>-1169</v>
      </c>
      <c r="O112">
        <v>6016</v>
      </c>
      <c r="P112">
        <v>4.0257096289999996</v>
      </c>
      <c r="Q112">
        <v>-112.0340271</v>
      </c>
      <c r="R112">
        <v>399978.8125</v>
      </c>
    </row>
    <row r="113" spans="1:18" x14ac:dyDescent="0.25">
      <c r="A113">
        <v>2161</v>
      </c>
      <c r="B113">
        <v>49455</v>
      </c>
      <c r="C113">
        <v>83</v>
      </c>
      <c r="D113">
        <v>92</v>
      </c>
      <c r="E113">
        <v>41943</v>
      </c>
      <c r="F113">
        <v>0</v>
      </c>
      <c r="G113">
        <v>341</v>
      </c>
      <c r="H113">
        <v>150303</v>
      </c>
      <c r="I113">
        <v>0.42199999999999999</v>
      </c>
      <c r="J113">
        <v>-2521000</v>
      </c>
      <c r="K113">
        <v>-6272000</v>
      </c>
      <c r="L113">
        <v>495200</v>
      </c>
      <c r="M113">
        <v>4101</v>
      </c>
      <c r="N113">
        <v>-1169</v>
      </c>
      <c r="O113">
        <v>6016</v>
      </c>
      <c r="P113">
        <v>4.0257096289999996</v>
      </c>
      <c r="Q113">
        <v>-112.0340271</v>
      </c>
      <c r="R113">
        <v>399978.8125</v>
      </c>
    </row>
    <row r="114" spans="1:18" x14ac:dyDescent="0.25">
      <c r="A114">
        <v>2161</v>
      </c>
      <c r="B114">
        <v>49456</v>
      </c>
      <c r="C114">
        <v>83</v>
      </c>
      <c r="D114">
        <v>92</v>
      </c>
      <c r="E114">
        <v>58327</v>
      </c>
      <c r="F114">
        <v>0</v>
      </c>
      <c r="G114">
        <v>341</v>
      </c>
      <c r="H114">
        <v>150303</v>
      </c>
      <c r="I114">
        <v>0.42199999999999999</v>
      </c>
      <c r="J114">
        <v>-2521000</v>
      </c>
      <c r="K114">
        <v>-6272000</v>
      </c>
      <c r="L114">
        <v>495200</v>
      </c>
      <c r="M114">
        <v>4101</v>
      </c>
      <c r="N114">
        <v>-1169</v>
      </c>
      <c r="O114">
        <v>6016</v>
      </c>
      <c r="P114">
        <v>4.0257096289999996</v>
      </c>
      <c r="Q114">
        <v>-112.0340271</v>
      </c>
      <c r="R114">
        <v>399978.8125</v>
      </c>
    </row>
    <row r="115" spans="1:18" x14ac:dyDescent="0.25">
      <c r="A115">
        <v>2161</v>
      </c>
      <c r="B115">
        <v>49457</v>
      </c>
      <c r="C115">
        <v>83</v>
      </c>
      <c r="D115">
        <v>93</v>
      </c>
      <c r="E115">
        <v>9175</v>
      </c>
      <c r="F115">
        <v>0</v>
      </c>
      <c r="G115">
        <v>341</v>
      </c>
      <c r="H115">
        <v>150303</v>
      </c>
      <c r="I115">
        <v>0.42199999999999999</v>
      </c>
      <c r="J115">
        <v>-2521000</v>
      </c>
      <c r="K115">
        <v>-6272000</v>
      </c>
      <c r="L115">
        <v>495200</v>
      </c>
      <c r="M115">
        <v>4101</v>
      </c>
      <c r="N115">
        <v>-1169</v>
      </c>
      <c r="O115">
        <v>6016</v>
      </c>
      <c r="P115">
        <v>4.0257096289999996</v>
      </c>
      <c r="Q115">
        <v>-112.0340271</v>
      </c>
      <c r="R115">
        <v>399978.8125</v>
      </c>
    </row>
    <row r="116" spans="1:18" x14ac:dyDescent="0.25">
      <c r="A116">
        <v>2161</v>
      </c>
      <c r="B116">
        <v>49458</v>
      </c>
      <c r="C116">
        <v>83</v>
      </c>
      <c r="D116">
        <v>93</v>
      </c>
      <c r="E116">
        <v>25559</v>
      </c>
      <c r="F116">
        <v>0</v>
      </c>
      <c r="G116">
        <v>341</v>
      </c>
      <c r="H116">
        <v>150303</v>
      </c>
      <c r="I116">
        <v>0.42199999999999999</v>
      </c>
      <c r="J116">
        <v>-2521000</v>
      </c>
      <c r="K116">
        <v>-6272000</v>
      </c>
      <c r="L116">
        <v>495200</v>
      </c>
      <c r="M116">
        <v>4101</v>
      </c>
      <c r="N116">
        <v>-1169</v>
      </c>
      <c r="O116">
        <v>6016</v>
      </c>
      <c r="P116">
        <v>4.0257096289999996</v>
      </c>
      <c r="Q116">
        <v>-112.0340271</v>
      </c>
      <c r="R116">
        <v>399978.8125</v>
      </c>
    </row>
    <row r="117" spans="1:18" x14ac:dyDescent="0.25">
      <c r="A117">
        <v>2161</v>
      </c>
      <c r="B117">
        <v>49459</v>
      </c>
      <c r="C117">
        <v>83</v>
      </c>
      <c r="D117">
        <v>93</v>
      </c>
      <c r="E117">
        <v>41943</v>
      </c>
      <c r="F117">
        <v>0</v>
      </c>
      <c r="G117">
        <v>341</v>
      </c>
      <c r="H117">
        <v>150303</v>
      </c>
      <c r="I117">
        <v>0.42199999999999999</v>
      </c>
      <c r="J117">
        <v>-2521000</v>
      </c>
      <c r="K117">
        <v>-6272000</v>
      </c>
      <c r="L117">
        <v>495200</v>
      </c>
      <c r="M117">
        <v>4101</v>
      </c>
      <c r="N117">
        <v>-1169</v>
      </c>
      <c r="O117">
        <v>6016</v>
      </c>
      <c r="P117">
        <v>4.0257096289999996</v>
      </c>
      <c r="Q117">
        <v>-112.0340271</v>
      </c>
      <c r="R117">
        <v>399978.8125</v>
      </c>
    </row>
    <row r="118" spans="1:18" x14ac:dyDescent="0.25">
      <c r="A118">
        <v>2161</v>
      </c>
      <c r="B118">
        <v>49460</v>
      </c>
      <c r="C118">
        <v>83</v>
      </c>
      <c r="D118">
        <v>93</v>
      </c>
      <c r="E118">
        <v>58327</v>
      </c>
      <c r="F118">
        <v>0</v>
      </c>
      <c r="G118">
        <v>341</v>
      </c>
      <c r="H118">
        <v>150303</v>
      </c>
      <c r="I118">
        <v>0.42199999999999999</v>
      </c>
      <c r="J118">
        <v>-2521000</v>
      </c>
      <c r="K118">
        <v>-6272000</v>
      </c>
      <c r="L118">
        <v>495200</v>
      </c>
      <c r="M118">
        <v>4101</v>
      </c>
      <c r="N118">
        <v>-1169</v>
      </c>
      <c r="O118">
        <v>6016</v>
      </c>
      <c r="P118">
        <v>4.0257096289999996</v>
      </c>
      <c r="Q118">
        <v>-112.0340271</v>
      </c>
      <c r="R118">
        <v>399978.8125</v>
      </c>
    </row>
    <row r="119" spans="1:18" x14ac:dyDescent="0.25">
      <c r="A119">
        <v>2161</v>
      </c>
      <c r="B119">
        <v>49461</v>
      </c>
      <c r="C119">
        <v>83</v>
      </c>
      <c r="D119">
        <v>94</v>
      </c>
      <c r="E119">
        <v>9175</v>
      </c>
      <c r="F119">
        <v>0</v>
      </c>
      <c r="G119">
        <v>341</v>
      </c>
      <c r="H119">
        <v>150303</v>
      </c>
      <c r="I119">
        <v>0.42199999999999999</v>
      </c>
      <c r="J119">
        <v>-2521000</v>
      </c>
      <c r="K119">
        <v>-6272000</v>
      </c>
      <c r="L119">
        <v>495200</v>
      </c>
      <c r="M119">
        <v>4101</v>
      </c>
      <c r="N119">
        <v>-1169</v>
      </c>
      <c r="O119">
        <v>6016</v>
      </c>
      <c r="P119">
        <v>4.0257096289999996</v>
      </c>
      <c r="Q119">
        <v>-112.0340271</v>
      </c>
      <c r="R119">
        <v>399978.8125</v>
      </c>
    </row>
    <row r="120" spans="1:18" x14ac:dyDescent="0.25">
      <c r="A120">
        <v>2161</v>
      </c>
      <c r="B120">
        <v>49462</v>
      </c>
      <c r="C120">
        <v>83</v>
      </c>
      <c r="D120">
        <v>94</v>
      </c>
      <c r="E120">
        <v>25559</v>
      </c>
      <c r="F120">
        <v>0</v>
      </c>
      <c r="G120">
        <v>341</v>
      </c>
      <c r="H120">
        <v>150303</v>
      </c>
      <c r="I120">
        <v>0.42199999999999999</v>
      </c>
      <c r="J120">
        <v>-2521000</v>
      </c>
      <c r="K120">
        <v>-6272000</v>
      </c>
      <c r="L120">
        <v>495200</v>
      </c>
      <c r="M120">
        <v>4101</v>
      </c>
      <c r="N120">
        <v>-1169</v>
      </c>
      <c r="O120">
        <v>6016</v>
      </c>
      <c r="P120">
        <v>4.0257096289999996</v>
      </c>
      <c r="Q120">
        <v>-112.0340271</v>
      </c>
      <c r="R120">
        <v>399978.8125</v>
      </c>
    </row>
    <row r="121" spans="1:18" x14ac:dyDescent="0.25">
      <c r="A121">
        <v>2161</v>
      </c>
      <c r="B121">
        <v>49463</v>
      </c>
      <c r="C121">
        <v>83</v>
      </c>
      <c r="D121">
        <v>94</v>
      </c>
      <c r="E121">
        <v>41943</v>
      </c>
      <c r="F121">
        <v>0</v>
      </c>
      <c r="G121">
        <v>341</v>
      </c>
      <c r="H121">
        <v>150303</v>
      </c>
      <c r="I121">
        <v>0.42199999999999999</v>
      </c>
      <c r="J121">
        <v>-2521000</v>
      </c>
      <c r="K121">
        <v>-6272000</v>
      </c>
      <c r="L121">
        <v>495200</v>
      </c>
      <c r="M121">
        <v>4101</v>
      </c>
      <c r="N121">
        <v>-1169</v>
      </c>
      <c r="O121">
        <v>6016</v>
      </c>
      <c r="P121">
        <v>4.0257096289999996</v>
      </c>
      <c r="Q121">
        <v>-112.0340271</v>
      </c>
      <c r="R121">
        <v>399978.8125</v>
      </c>
    </row>
    <row r="122" spans="1:18" x14ac:dyDescent="0.25">
      <c r="A122">
        <v>2161</v>
      </c>
      <c r="B122">
        <v>49464</v>
      </c>
      <c r="C122">
        <v>83</v>
      </c>
      <c r="D122">
        <v>94</v>
      </c>
      <c r="E122">
        <v>58327</v>
      </c>
      <c r="F122">
        <v>0</v>
      </c>
      <c r="G122">
        <v>341</v>
      </c>
      <c r="H122">
        <v>150303</v>
      </c>
      <c r="I122">
        <v>0.42199999999999999</v>
      </c>
      <c r="J122">
        <v>-2521000</v>
      </c>
      <c r="K122">
        <v>-6272000</v>
      </c>
      <c r="L122">
        <v>495200</v>
      </c>
      <c r="M122">
        <v>4101</v>
      </c>
      <c r="N122">
        <v>-1169</v>
      </c>
      <c r="O122">
        <v>6016</v>
      </c>
      <c r="P122">
        <v>4.0257096289999996</v>
      </c>
      <c r="Q122">
        <v>-112.0340271</v>
      </c>
      <c r="R122">
        <v>399978.8125</v>
      </c>
    </row>
    <row r="123" spans="1:18" x14ac:dyDescent="0.25">
      <c r="A123">
        <v>2161</v>
      </c>
      <c r="B123">
        <v>49465</v>
      </c>
      <c r="C123">
        <v>83</v>
      </c>
      <c r="D123">
        <v>95</v>
      </c>
      <c r="E123">
        <v>9175</v>
      </c>
      <c r="F123">
        <v>0</v>
      </c>
      <c r="G123">
        <v>341</v>
      </c>
      <c r="H123">
        <v>150303</v>
      </c>
      <c r="I123">
        <v>0.42199999999999999</v>
      </c>
      <c r="J123">
        <v>-2521000</v>
      </c>
      <c r="K123">
        <v>-6272000</v>
      </c>
      <c r="L123">
        <v>495200</v>
      </c>
      <c r="M123">
        <v>4101</v>
      </c>
      <c r="N123">
        <v>-1169</v>
      </c>
      <c r="O123">
        <v>6016</v>
      </c>
      <c r="P123">
        <v>4.0257096289999996</v>
      </c>
      <c r="Q123">
        <v>-112.0340271</v>
      </c>
      <c r="R123">
        <v>399978.8125</v>
      </c>
    </row>
    <row r="124" spans="1:18" x14ac:dyDescent="0.25">
      <c r="A124">
        <v>2161</v>
      </c>
      <c r="B124">
        <v>49466</v>
      </c>
      <c r="C124">
        <v>83</v>
      </c>
      <c r="D124">
        <v>95</v>
      </c>
      <c r="E124">
        <v>25559</v>
      </c>
      <c r="F124">
        <v>0</v>
      </c>
      <c r="G124">
        <v>341</v>
      </c>
      <c r="H124">
        <v>150303</v>
      </c>
      <c r="I124">
        <v>0.42199999999999999</v>
      </c>
      <c r="J124">
        <v>-2521000</v>
      </c>
      <c r="K124">
        <v>-6272000</v>
      </c>
      <c r="L124">
        <v>495200</v>
      </c>
      <c r="M124">
        <v>4101</v>
      </c>
      <c r="N124">
        <v>-1169</v>
      </c>
      <c r="O124">
        <v>6016</v>
      </c>
      <c r="P124">
        <v>4.0257096289999996</v>
      </c>
      <c r="Q124">
        <v>-112.0340271</v>
      </c>
      <c r="R124">
        <v>399978.8125</v>
      </c>
    </row>
    <row r="125" spans="1:18" x14ac:dyDescent="0.25">
      <c r="A125">
        <v>2161</v>
      </c>
      <c r="B125">
        <v>49467</v>
      </c>
      <c r="C125">
        <v>83</v>
      </c>
      <c r="D125">
        <v>95</v>
      </c>
      <c r="E125">
        <v>41943</v>
      </c>
      <c r="F125">
        <v>0</v>
      </c>
      <c r="G125">
        <v>341</v>
      </c>
      <c r="H125">
        <v>150303</v>
      </c>
      <c r="I125">
        <v>0.42199999999999999</v>
      </c>
      <c r="J125">
        <v>-2521000</v>
      </c>
      <c r="K125">
        <v>-6272000</v>
      </c>
      <c r="L125">
        <v>495200</v>
      </c>
      <c r="M125">
        <v>4101</v>
      </c>
      <c r="N125">
        <v>-1169</v>
      </c>
      <c r="O125">
        <v>6016</v>
      </c>
      <c r="P125">
        <v>4.0257096289999996</v>
      </c>
      <c r="Q125">
        <v>-112.0340271</v>
      </c>
      <c r="R125">
        <v>399978.8125</v>
      </c>
    </row>
    <row r="126" spans="1:18" x14ac:dyDescent="0.25">
      <c r="A126">
        <v>2161</v>
      </c>
      <c r="B126">
        <v>49468</v>
      </c>
      <c r="C126">
        <v>83</v>
      </c>
      <c r="D126">
        <v>95</v>
      </c>
      <c r="E126">
        <v>58327</v>
      </c>
      <c r="F126">
        <v>0</v>
      </c>
      <c r="G126">
        <v>341</v>
      </c>
      <c r="H126">
        <v>150303</v>
      </c>
      <c r="I126">
        <v>0.42199999999999999</v>
      </c>
      <c r="J126">
        <v>-2521000</v>
      </c>
      <c r="K126">
        <v>-6272000</v>
      </c>
      <c r="L126">
        <v>495200</v>
      </c>
      <c r="M126">
        <v>4101</v>
      </c>
      <c r="N126">
        <v>-1169</v>
      </c>
      <c r="O126">
        <v>6016</v>
      </c>
      <c r="P126">
        <v>4.0257096289999996</v>
      </c>
      <c r="Q126">
        <v>-112.0340271</v>
      </c>
      <c r="R126">
        <v>399978.8125</v>
      </c>
    </row>
    <row r="127" spans="1:18" x14ac:dyDescent="0.25">
      <c r="A127">
        <v>2161</v>
      </c>
      <c r="B127">
        <v>49469</v>
      </c>
      <c r="C127">
        <v>83</v>
      </c>
      <c r="D127">
        <v>96</v>
      </c>
      <c r="E127">
        <v>9175</v>
      </c>
      <c r="F127">
        <v>0</v>
      </c>
      <c r="G127">
        <v>341</v>
      </c>
      <c r="H127">
        <v>150303</v>
      </c>
      <c r="I127">
        <v>0.42199999999999999</v>
      </c>
      <c r="J127">
        <v>-2521000</v>
      </c>
      <c r="K127">
        <v>-6272000</v>
      </c>
      <c r="L127">
        <v>495200</v>
      </c>
      <c r="M127">
        <v>4101</v>
      </c>
      <c r="N127">
        <v>-1169</v>
      </c>
      <c r="O127">
        <v>6016</v>
      </c>
      <c r="P127">
        <v>4.0257096289999996</v>
      </c>
      <c r="Q127">
        <v>-112.0340271</v>
      </c>
      <c r="R127">
        <v>399978.8125</v>
      </c>
    </row>
    <row r="128" spans="1:18" x14ac:dyDescent="0.25">
      <c r="A128">
        <v>2161</v>
      </c>
      <c r="B128">
        <v>49470</v>
      </c>
      <c r="C128">
        <v>83</v>
      </c>
      <c r="D128">
        <v>96</v>
      </c>
      <c r="E128">
        <v>25559</v>
      </c>
      <c r="F128">
        <v>0</v>
      </c>
      <c r="G128">
        <v>341</v>
      </c>
      <c r="H128">
        <v>150303</v>
      </c>
      <c r="I128">
        <v>0.42199999999999999</v>
      </c>
      <c r="J128">
        <v>-2521000</v>
      </c>
      <c r="K128">
        <v>-6272000</v>
      </c>
      <c r="L128">
        <v>495200</v>
      </c>
      <c r="M128">
        <v>4101</v>
      </c>
      <c r="N128">
        <v>-1169</v>
      </c>
      <c r="O128">
        <v>6016</v>
      </c>
      <c r="P128">
        <v>4.0257096289999996</v>
      </c>
      <c r="Q128">
        <v>-112.0340271</v>
      </c>
      <c r="R128">
        <v>399978.8125</v>
      </c>
    </row>
    <row r="129" spans="1:18" x14ac:dyDescent="0.25">
      <c r="A129">
        <v>2161</v>
      </c>
      <c r="B129">
        <v>49471</v>
      </c>
      <c r="C129">
        <v>83</v>
      </c>
      <c r="D129">
        <v>96</v>
      </c>
      <c r="E129">
        <v>41943</v>
      </c>
      <c r="F129">
        <v>0</v>
      </c>
      <c r="G129">
        <v>341</v>
      </c>
      <c r="H129">
        <v>150303</v>
      </c>
      <c r="I129">
        <v>0.42199999999999999</v>
      </c>
      <c r="J129">
        <v>-2521000</v>
      </c>
      <c r="K129">
        <v>-6272000</v>
      </c>
      <c r="L129">
        <v>495200</v>
      </c>
      <c r="M129">
        <v>4101</v>
      </c>
      <c r="N129">
        <v>-1169</v>
      </c>
      <c r="O129">
        <v>6016</v>
      </c>
      <c r="P129">
        <v>4.0257096289999996</v>
      </c>
      <c r="Q129">
        <v>-112.0340271</v>
      </c>
      <c r="R129">
        <v>399978.8125</v>
      </c>
    </row>
    <row r="130" spans="1:18" x14ac:dyDescent="0.25">
      <c r="A130">
        <v>2161</v>
      </c>
      <c r="B130">
        <v>49472</v>
      </c>
      <c r="C130">
        <v>83</v>
      </c>
      <c r="D130">
        <v>96</v>
      </c>
      <c r="E130">
        <v>58327</v>
      </c>
      <c r="F130">
        <v>0</v>
      </c>
      <c r="G130">
        <v>341</v>
      </c>
      <c r="H130">
        <v>150303</v>
      </c>
      <c r="I130">
        <v>0.42199999999999999</v>
      </c>
      <c r="J130">
        <v>-2521000</v>
      </c>
      <c r="K130">
        <v>-6272000</v>
      </c>
      <c r="L130">
        <v>495200</v>
      </c>
      <c r="M130">
        <v>4101</v>
      </c>
      <c r="N130">
        <v>-1169</v>
      </c>
      <c r="O130">
        <v>6016</v>
      </c>
      <c r="P130">
        <v>4.0257096289999996</v>
      </c>
      <c r="Q130">
        <v>-112.0340271</v>
      </c>
      <c r="R130">
        <v>399978.8125</v>
      </c>
    </row>
    <row r="131" spans="1:18" x14ac:dyDescent="0.25">
      <c r="A131">
        <v>2161</v>
      </c>
      <c r="B131">
        <v>49473</v>
      </c>
      <c r="C131">
        <v>83</v>
      </c>
      <c r="D131">
        <v>97</v>
      </c>
      <c r="E131">
        <v>9175</v>
      </c>
      <c r="F131">
        <v>0</v>
      </c>
      <c r="G131">
        <v>341</v>
      </c>
      <c r="H131">
        <v>150303</v>
      </c>
      <c r="I131">
        <v>0.42199999999999999</v>
      </c>
      <c r="J131">
        <v>-2521000</v>
      </c>
      <c r="K131">
        <v>-6272000</v>
      </c>
      <c r="L131">
        <v>495200</v>
      </c>
      <c r="M131">
        <v>4101</v>
      </c>
      <c r="N131">
        <v>-1169</v>
      </c>
      <c r="O131">
        <v>6016</v>
      </c>
      <c r="P131">
        <v>4.0257096289999996</v>
      </c>
      <c r="Q131">
        <v>-112.0340271</v>
      </c>
      <c r="R131">
        <v>399978.8125</v>
      </c>
    </row>
    <row r="132" spans="1:18" x14ac:dyDescent="0.25">
      <c r="A132">
        <v>2161</v>
      </c>
      <c r="B132">
        <v>49474</v>
      </c>
      <c r="C132">
        <v>83</v>
      </c>
      <c r="D132">
        <v>97</v>
      </c>
      <c r="E132">
        <v>25559</v>
      </c>
      <c r="F132">
        <v>0</v>
      </c>
      <c r="G132">
        <v>341</v>
      </c>
      <c r="H132">
        <v>150303</v>
      </c>
      <c r="I132">
        <v>0.42199999999999999</v>
      </c>
      <c r="J132">
        <v>-2521000</v>
      </c>
      <c r="K132">
        <v>-6272000</v>
      </c>
      <c r="L132">
        <v>495200</v>
      </c>
      <c r="M132">
        <v>4101</v>
      </c>
      <c r="N132">
        <v>-1169</v>
      </c>
      <c r="O132">
        <v>6016</v>
      </c>
      <c r="P132">
        <v>4.0257096289999996</v>
      </c>
      <c r="Q132">
        <v>-112.0340271</v>
      </c>
      <c r="R132">
        <v>399978.8125</v>
      </c>
    </row>
    <row r="133" spans="1:18" x14ac:dyDescent="0.25">
      <c r="A133">
        <v>2161</v>
      </c>
      <c r="B133">
        <v>49475</v>
      </c>
      <c r="C133">
        <v>83</v>
      </c>
      <c r="D133">
        <v>97</v>
      </c>
      <c r="E133">
        <v>41943</v>
      </c>
      <c r="F133">
        <v>0</v>
      </c>
      <c r="G133">
        <v>341</v>
      </c>
      <c r="H133">
        <v>150303</v>
      </c>
      <c r="I133">
        <v>0.42199999999999999</v>
      </c>
      <c r="J133">
        <v>-2521000</v>
      </c>
      <c r="K133">
        <v>-6272000</v>
      </c>
      <c r="L133">
        <v>495200</v>
      </c>
      <c r="M133">
        <v>4101</v>
      </c>
      <c r="N133">
        <v>-1169</v>
      </c>
      <c r="O133">
        <v>6016</v>
      </c>
      <c r="P133">
        <v>4.0257096289999996</v>
      </c>
      <c r="Q133">
        <v>-112.0340271</v>
      </c>
      <c r="R133">
        <v>399978.8125</v>
      </c>
    </row>
    <row r="134" spans="1:18" x14ac:dyDescent="0.25">
      <c r="A134">
        <v>2161</v>
      </c>
      <c r="B134">
        <v>49476</v>
      </c>
      <c r="C134">
        <v>83</v>
      </c>
      <c r="D134">
        <v>97</v>
      </c>
      <c r="E134">
        <v>58327</v>
      </c>
      <c r="F134">
        <v>0</v>
      </c>
      <c r="G134">
        <v>341</v>
      </c>
      <c r="H134">
        <v>150303</v>
      </c>
      <c r="I134">
        <v>0.42199999999999999</v>
      </c>
      <c r="J134">
        <v>-2521000</v>
      </c>
      <c r="K134">
        <v>-6272000</v>
      </c>
      <c r="L134">
        <v>495200</v>
      </c>
      <c r="M134">
        <v>4101</v>
      </c>
      <c r="N134">
        <v>-1169</v>
      </c>
      <c r="O134">
        <v>6016</v>
      </c>
      <c r="P134">
        <v>4.0257096289999996</v>
      </c>
      <c r="Q134">
        <v>-112.0340271</v>
      </c>
      <c r="R134">
        <v>399978.8125</v>
      </c>
    </row>
    <row r="135" spans="1:18" x14ac:dyDescent="0.25">
      <c r="A135">
        <v>2161</v>
      </c>
      <c r="B135">
        <v>49477</v>
      </c>
      <c r="C135">
        <v>83</v>
      </c>
      <c r="D135">
        <v>98</v>
      </c>
      <c r="E135">
        <v>9175</v>
      </c>
      <c r="F135">
        <v>0</v>
      </c>
      <c r="G135">
        <v>341</v>
      </c>
      <c r="H135">
        <v>150303</v>
      </c>
      <c r="I135">
        <v>0.42199999999999999</v>
      </c>
      <c r="J135">
        <v>-2521000</v>
      </c>
      <c r="K135">
        <v>-6272000</v>
      </c>
      <c r="L135">
        <v>495200</v>
      </c>
      <c r="M135">
        <v>4101</v>
      </c>
      <c r="N135">
        <v>-1169</v>
      </c>
      <c r="O135">
        <v>6016</v>
      </c>
      <c r="P135">
        <v>4.0257096289999996</v>
      </c>
      <c r="Q135">
        <v>-112.0340271</v>
      </c>
      <c r="R135">
        <v>399978.8125</v>
      </c>
    </row>
    <row r="136" spans="1:18" x14ac:dyDescent="0.25">
      <c r="A136">
        <v>2161</v>
      </c>
      <c r="B136">
        <v>49478</v>
      </c>
      <c r="C136">
        <v>83</v>
      </c>
      <c r="D136">
        <v>98</v>
      </c>
      <c r="E136">
        <v>25559</v>
      </c>
      <c r="F136">
        <v>0</v>
      </c>
      <c r="G136">
        <v>341</v>
      </c>
      <c r="H136">
        <v>150303</v>
      </c>
      <c r="I136">
        <v>0.42199999999999999</v>
      </c>
      <c r="J136">
        <v>-2521000</v>
      </c>
      <c r="K136">
        <v>-6272000</v>
      </c>
      <c r="L136">
        <v>495200</v>
      </c>
      <c r="M136">
        <v>4101</v>
      </c>
      <c r="N136">
        <v>-1169</v>
      </c>
      <c r="O136">
        <v>6016</v>
      </c>
      <c r="P136">
        <v>4.0257096289999996</v>
      </c>
      <c r="Q136">
        <v>-112.0340271</v>
      </c>
      <c r="R136">
        <v>399978.8125</v>
      </c>
    </row>
    <row r="137" spans="1:18" x14ac:dyDescent="0.25">
      <c r="A137">
        <v>2161</v>
      </c>
      <c r="B137">
        <v>49479</v>
      </c>
      <c r="C137">
        <v>83</v>
      </c>
      <c r="D137">
        <v>98</v>
      </c>
      <c r="E137">
        <v>41943</v>
      </c>
      <c r="F137">
        <v>0</v>
      </c>
      <c r="G137">
        <v>341</v>
      </c>
      <c r="H137">
        <v>150303</v>
      </c>
      <c r="I137">
        <v>0.42199999999999999</v>
      </c>
      <c r="J137">
        <v>-2521000</v>
      </c>
      <c r="K137">
        <v>-6272000</v>
      </c>
      <c r="L137">
        <v>495200</v>
      </c>
      <c r="M137">
        <v>4101</v>
      </c>
      <c r="N137">
        <v>-1169</v>
      </c>
      <c r="O137">
        <v>6016</v>
      </c>
      <c r="P137">
        <v>4.0257096289999996</v>
      </c>
      <c r="Q137">
        <v>-112.0340271</v>
      </c>
      <c r="R137">
        <v>399978.8125</v>
      </c>
    </row>
    <row r="138" spans="1:18" x14ac:dyDescent="0.25">
      <c r="A138">
        <v>2161</v>
      </c>
      <c r="B138">
        <v>49480</v>
      </c>
      <c r="C138">
        <v>83</v>
      </c>
      <c r="D138">
        <v>98</v>
      </c>
      <c r="E138">
        <v>58327</v>
      </c>
      <c r="F138">
        <v>0</v>
      </c>
      <c r="G138">
        <v>341</v>
      </c>
      <c r="H138">
        <v>150303</v>
      </c>
      <c r="I138">
        <v>0.42199999999999999</v>
      </c>
      <c r="J138">
        <v>-2521000</v>
      </c>
      <c r="K138">
        <v>-6272000</v>
      </c>
      <c r="L138">
        <v>495200</v>
      </c>
      <c r="M138">
        <v>4101</v>
      </c>
      <c r="N138">
        <v>-1169</v>
      </c>
      <c r="O138">
        <v>6016</v>
      </c>
      <c r="P138">
        <v>4.0257096289999996</v>
      </c>
      <c r="Q138">
        <v>-112.0340271</v>
      </c>
      <c r="R138">
        <v>399978.8125</v>
      </c>
    </row>
    <row r="139" spans="1:18" x14ac:dyDescent="0.25">
      <c r="A139">
        <v>2161</v>
      </c>
      <c r="B139">
        <v>49481</v>
      </c>
      <c r="C139">
        <v>83</v>
      </c>
      <c r="D139">
        <v>99</v>
      </c>
      <c r="E139">
        <v>9175</v>
      </c>
      <c r="F139">
        <v>0</v>
      </c>
      <c r="G139">
        <v>341</v>
      </c>
      <c r="H139">
        <v>150303</v>
      </c>
      <c r="I139">
        <v>0.42199999999999999</v>
      </c>
      <c r="J139">
        <v>-2521000</v>
      </c>
      <c r="K139">
        <v>-6272000</v>
      </c>
      <c r="L139">
        <v>495200</v>
      </c>
      <c r="M139">
        <v>4101</v>
      </c>
      <c r="N139">
        <v>-1169</v>
      </c>
      <c r="O139">
        <v>6016</v>
      </c>
      <c r="P139">
        <v>4.0257096289999996</v>
      </c>
      <c r="Q139">
        <v>-112.0340271</v>
      </c>
      <c r="R139">
        <v>399978.8125</v>
      </c>
    </row>
    <row r="140" spans="1:18" x14ac:dyDescent="0.25">
      <c r="A140">
        <v>2161</v>
      </c>
      <c r="B140">
        <v>49482</v>
      </c>
      <c r="C140">
        <v>83</v>
      </c>
      <c r="D140">
        <v>99</v>
      </c>
      <c r="E140">
        <v>25559</v>
      </c>
      <c r="F140">
        <v>0</v>
      </c>
      <c r="G140">
        <v>341</v>
      </c>
      <c r="H140">
        <v>150303</v>
      </c>
      <c r="I140">
        <v>0.42199999999999999</v>
      </c>
      <c r="J140">
        <v>-2521000</v>
      </c>
      <c r="K140">
        <v>-6272000</v>
      </c>
      <c r="L140">
        <v>495200</v>
      </c>
      <c r="M140">
        <v>4101</v>
      </c>
      <c r="N140">
        <v>-1169</v>
      </c>
      <c r="O140">
        <v>6016</v>
      </c>
      <c r="P140">
        <v>4.0257096289999996</v>
      </c>
      <c r="Q140">
        <v>-112.0340271</v>
      </c>
      <c r="R140">
        <v>399978.8125</v>
      </c>
    </row>
    <row r="141" spans="1:18" x14ac:dyDescent="0.25">
      <c r="A141">
        <v>2161</v>
      </c>
      <c r="B141">
        <v>49483</v>
      </c>
      <c r="C141">
        <v>83</v>
      </c>
      <c r="D141">
        <v>99</v>
      </c>
      <c r="E141">
        <v>41943</v>
      </c>
      <c r="F141">
        <v>0</v>
      </c>
      <c r="G141">
        <v>341</v>
      </c>
      <c r="H141">
        <v>150303</v>
      </c>
      <c r="I141">
        <v>0.42199999999999999</v>
      </c>
      <c r="J141">
        <v>-2521000</v>
      </c>
      <c r="K141">
        <v>-6272000</v>
      </c>
      <c r="L141">
        <v>495200</v>
      </c>
      <c r="M141">
        <v>4101</v>
      </c>
      <c r="N141">
        <v>-1169</v>
      </c>
      <c r="O141">
        <v>6016</v>
      </c>
      <c r="P141">
        <v>4.0257096289999996</v>
      </c>
      <c r="Q141">
        <v>-112.0340271</v>
      </c>
      <c r="R141">
        <v>399978.8125</v>
      </c>
    </row>
    <row r="142" spans="1:18" x14ac:dyDescent="0.25">
      <c r="A142">
        <v>2161</v>
      </c>
      <c r="B142">
        <v>49484</v>
      </c>
      <c r="C142">
        <v>83</v>
      </c>
      <c r="D142">
        <v>99</v>
      </c>
      <c r="E142">
        <v>58327</v>
      </c>
      <c r="F142">
        <v>0</v>
      </c>
      <c r="G142">
        <v>341</v>
      </c>
      <c r="H142">
        <v>150303</v>
      </c>
      <c r="I142">
        <v>0.42199999999999999</v>
      </c>
      <c r="J142">
        <v>-2521000</v>
      </c>
      <c r="K142">
        <v>-6272000</v>
      </c>
      <c r="L142">
        <v>495200</v>
      </c>
      <c r="M142">
        <v>4101</v>
      </c>
      <c r="N142">
        <v>-1169</v>
      </c>
      <c r="O142">
        <v>6016</v>
      </c>
      <c r="P142">
        <v>4.0257096289999996</v>
      </c>
      <c r="Q142">
        <v>-112.0340271</v>
      </c>
      <c r="R142">
        <v>399978.8125</v>
      </c>
    </row>
    <row r="143" spans="1:18" x14ac:dyDescent="0.25">
      <c r="A143">
        <v>2161</v>
      </c>
      <c r="B143">
        <v>49485</v>
      </c>
      <c r="C143">
        <v>83</v>
      </c>
      <c r="D143">
        <v>100</v>
      </c>
      <c r="E143">
        <v>9175</v>
      </c>
      <c r="F143">
        <v>0</v>
      </c>
      <c r="G143">
        <v>341</v>
      </c>
      <c r="H143">
        <v>150303</v>
      </c>
      <c r="I143">
        <v>0.42199999999999999</v>
      </c>
      <c r="J143">
        <v>-2521000</v>
      </c>
      <c r="K143">
        <v>-6272000</v>
      </c>
      <c r="L143">
        <v>495200</v>
      </c>
      <c r="M143">
        <v>4101</v>
      </c>
      <c r="N143">
        <v>-1169</v>
      </c>
      <c r="O143">
        <v>6016</v>
      </c>
      <c r="P143">
        <v>4.0257096289999996</v>
      </c>
      <c r="Q143">
        <v>-112.0340271</v>
      </c>
      <c r="R143">
        <v>399978.8125</v>
      </c>
    </row>
    <row r="144" spans="1:18" x14ac:dyDescent="0.25">
      <c r="A144">
        <v>2161</v>
      </c>
      <c r="B144">
        <v>49486</v>
      </c>
      <c r="C144">
        <v>83</v>
      </c>
      <c r="D144">
        <v>100</v>
      </c>
      <c r="E144">
        <v>25559</v>
      </c>
      <c r="F144">
        <v>0</v>
      </c>
      <c r="G144">
        <v>341</v>
      </c>
      <c r="H144">
        <v>150303</v>
      </c>
      <c r="I144">
        <v>0.42199999999999999</v>
      </c>
      <c r="J144">
        <v>-2521000</v>
      </c>
      <c r="K144">
        <v>-6272000</v>
      </c>
      <c r="L144">
        <v>495200</v>
      </c>
      <c r="M144">
        <v>4101</v>
      </c>
      <c r="N144">
        <v>-1169</v>
      </c>
      <c r="O144">
        <v>6016</v>
      </c>
      <c r="P144">
        <v>4.0257096289999996</v>
      </c>
      <c r="Q144">
        <v>-112.0340271</v>
      </c>
      <c r="R144">
        <v>399978.8125</v>
      </c>
    </row>
    <row r="145" spans="1:18" x14ac:dyDescent="0.25">
      <c r="A145">
        <v>2161</v>
      </c>
      <c r="B145">
        <v>49487</v>
      </c>
      <c r="C145">
        <v>83</v>
      </c>
      <c r="D145">
        <v>100</v>
      </c>
      <c r="E145">
        <v>41943</v>
      </c>
      <c r="F145">
        <v>0</v>
      </c>
      <c r="G145">
        <v>341</v>
      </c>
      <c r="H145">
        <v>150303</v>
      </c>
      <c r="I145">
        <v>0.42199999999999999</v>
      </c>
      <c r="J145">
        <v>-2521000</v>
      </c>
      <c r="K145">
        <v>-6272000</v>
      </c>
      <c r="L145">
        <v>495200</v>
      </c>
      <c r="M145">
        <v>4101</v>
      </c>
      <c r="N145">
        <v>-1169</v>
      </c>
      <c r="O145">
        <v>6016</v>
      </c>
      <c r="P145">
        <v>4.0257096289999996</v>
      </c>
      <c r="Q145">
        <v>-112.0340271</v>
      </c>
      <c r="R145">
        <v>399978.8125</v>
      </c>
    </row>
    <row r="146" spans="1:18" x14ac:dyDescent="0.25">
      <c r="A146">
        <v>2161</v>
      </c>
      <c r="B146">
        <v>49488</v>
      </c>
      <c r="C146">
        <v>83</v>
      </c>
      <c r="D146">
        <v>100</v>
      </c>
      <c r="E146">
        <v>58327</v>
      </c>
      <c r="F146">
        <v>0</v>
      </c>
      <c r="G146">
        <v>341</v>
      </c>
      <c r="H146">
        <v>150303</v>
      </c>
      <c r="I146">
        <v>0.42199999999999999</v>
      </c>
      <c r="J146">
        <v>-2521000</v>
      </c>
      <c r="K146">
        <v>-6272000</v>
      </c>
      <c r="L146">
        <v>495200</v>
      </c>
      <c r="M146">
        <v>4101</v>
      </c>
      <c r="N146">
        <v>-1169</v>
      </c>
      <c r="O146">
        <v>6016</v>
      </c>
      <c r="P146">
        <v>4.0257096289999996</v>
      </c>
      <c r="Q146">
        <v>-112.0340271</v>
      </c>
      <c r="R146">
        <v>399978.8125</v>
      </c>
    </row>
    <row r="147" spans="1:18" x14ac:dyDescent="0.25">
      <c r="A147">
        <v>2161</v>
      </c>
      <c r="B147">
        <v>49489</v>
      </c>
      <c r="C147">
        <v>83</v>
      </c>
      <c r="D147">
        <v>101</v>
      </c>
      <c r="E147">
        <v>9175</v>
      </c>
      <c r="F147">
        <v>0</v>
      </c>
      <c r="G147">
        <v>341</v>
      </c>
      <c r="H147">
        <v>150303</v>
      </c>
      <c r="I147">
        <v>0.42199999999999999</v>
      </c>
      <c r="J147">
        <v>-2521000</v>
      </c>
      <c r="K147">
        <v>-6272000</v>
      </c>
      <c r="L147">
        <v>495200</v>
      </c>
      <c r="M147">
        <v>4101</v>
      </c>
      <c r="N147">
        <v>-1169</v>
      </c>
      <c r="O147">
        <v>6016</v>
      </c>
      <c r="P147">
        <v>4.0257096289999996</v>
      </c>
      <c r="Q147">
        <v>-112.0340271</v>
      </c>
      <c r="R147">
        <v>399978.8125</v>
      </c>
    </row>
    <row r="148" spans="1:18" x14ac:dyDescent="0.25">
      <c r="A148">
        <v>2161</v>
      </c>
      <c r="B148">
        <v>49490</v>
      </c>
      <c r="C148">
        <v>83</v>
      </c>
      <c r="D148">
        <v>101</v>
      </c>
      <c r="E148">
        <v>25559</v>
      </c>
      <c r="F148">
        <v>0</v>
      </c>
      <c r="G148">
        <v>341</v>
      </c>
      <c r="H148">
        <v>150303</v>
      </c>
      <c r="I148">
        <v>0.42199999999999999</v>
      </c>
      <c r="J148">
        <v>-2521000</v>
      </c>
      <c r="K148">
        <v>-6272000</v>
      </c>
      <c r="L148">
        <v>495200</v>
      </c>
      <c r="M148">
        <v>4101</v>
      </c>
      <c r="N148">
        <v>-1169</v>
      </c>
      <c r="O148">
        <v>6016</v>
      </c>
      <c r="P148">
        <v>4.0257096289999996</v>
      </c>
      <c r="Q148">
        <v>-112.0340271</v>
      </c>
      <c r="R148">
        <v>399978.8125</v>
      </c>
    </row>
    <row r="149" spans="1:18" x14ac:dyDescent="0.25">
      <c r="A149">
        <v>2161</v>
      </c>
      <c r="B149">
        <v>49491</v>
      </c>
      <c r="C149">
        <v>83</v>
      </c>
      <c r="D149">
        <v>101</v>
      </c>
      <c r="E149">
        <v>41943</v>
      </c>
      <c r="F149">
        <v>0</v>
      </c>
      <c r="G149">
        <v>341</v>
      </c>
      <c r="H149">
        <v>150303</v>
      </c>
      <c r="I149">
        <v>0.42199999999999999</v>
      </c>
      <c r="J149">
        <v>-2521000</v>
      </c>
      <c r="K149">
        <v>-6272000</v>
      </c>
      <c r="L149">
        <v>495200</v>
      </c>
      <c r="M149">
        <v>4101</v>
      </c>
      <c r="N149">
        <v>-1169</v>
      </c>
      <c r="O149">
        <v>6016</v>
      </c>
      <c r="P149">
        <v>4.0257096289999996</v>
      </c>
      <c r="Q149">
        <v>-112.0340271</v>
      </c>
      <c r="R149">
        <v>399978.8125</v>
      </c>
    </row>
    <row r="150" spans="1:18" x14ac:dyDescent="0.25">
      <c r="A150">
        <v>2161</v>
      </c>
      <c r="B150">
        <v>49492</v>
      </c>
      <c r="C150">
        <v>83</v>
      </c>
      <c r="D150">
        <v>101</v>
      </c>
      <c r="E150">
        <v>58327</v>
      </c>
      <c r="F150">
        <v>0</v>
      </c>
      <c r="G150">
        <v>341</v>
      </c>
      <c r="H150">
        <v>150303</v>
      </c>
      <c r="I150">
        <v>0.42199999999999999</v>
      </c>
      <c r="J150">
        <v>-2521000</v>
      </c>
      <c r="K150">
        <v>-6272000</v>
      </c>
      <c r="L150">
        <v>495200</v>
      </c>
      <c r="M150">
        <v>4101</v>
      </c>
      <c r="N150">
        <v>-1169</v>
      </c>
      <c r="O150">
        <v>6016</v>
      </c>
      <c r="P150">
        <v>4.0257096289999996</v>
      </c>
      <c r="Q150">
        <v>-112.0340271</v>
      </c>
      <c r="R150">
        <v>399978.8125</v>
      </c>
    </row>
    <row r="151" spans="1:18" x14ac:dyDescent="0.25">
      <c r="A151">
        <v>2161</v>
      </c>
      <c r="B151">
        <v>49493</v>
      </c>
      <c r="C151">
        <v>83</v>
      </c>
      <c r="D151">
        <v>102</v>
      </c>
      <c r="E151">
        <v>9175</v>
      </c>
      <c r="F151">
        <v>0</v>
      </c>
      <c r="G151">
        <v>341</v>
      </c>
      <c r="H151">
        <v>150303</v>
      </c>
      <c r="I151">
        <v>0.42199999999999999</v>
      </c>
      <c r="J151">
        <v>-2521000</v>
      </c>
      <c r="K151">
        <v>-6272000</v>
      </c>
      <c r="L151">
        <v>495200</v>
      </c>
      <c r="M151">
        <v>4101</v>
      </c>
      <c r="N151">
        <v>-1169</v>
      </c>
      <c r="O151">
        <v>6016</v>
      </c>
      <c r="P151">
        <v>4.0257096289999996</v>
      </c>
      <c r="Q151">
        <v>-112.0340271</v>
      </c>
      <c r="R151">
        <v>399978.8125</v>
      </c>
    </row>
    <row r="152" spans="1:18" x14ac:dyDescent="0.25">
      <c r="A152">
        <v>2161</v>
      </c>
      <c r="B152">
        <v>49494</v>
      </c>
      <c r="C152">
        <v>83</v>
      </c>
      <c r="D152">
        <v>102</v>
      </c>
      <c r="E152">
        <v>25559</v>
      </c>
      <c r="F152">
        <v>0</v>
      </c>
      <c r="G152">
        <v>341</v>
      </c>
      <c r="H152">
        <v>150303</v>
      </c>
      <c r="I152">
        <v>0.42199999999999999</v>
      </c>
      <c r="J152">
        <v>-2521000</v>
      </c>
      <c r="K152">
        <v>-6272000</v>
      </c>
      <c r="L152">
        <v>495200</v>
      </c>
      <c r="M152">
        <v>4101</v>
      </c>
      <c r="N152">
        <v>-1169</v>
      </c>
      <c r="O152">
        <v>6016</v>
      </c>
      <c r="P152">
        <v>4.0257096289999996</v>
      </c>
      <c r="Q152">
        <v>-112.0340271</v>
      </c>
      <c r="R152">
        <v>399978.8125</v>
      </c>
    </row>
    <row r="153" spans="1:18" x14ac:dyDescent="0.25">
      <c r="A153">
        <v>2161</v>
      </c>
      <c r="B153">
        <v>49495</v>
      </c>
      <c r="C153">
        <v>83</v>
      </c>
      <c r="D153">
        <v>102</v>
      </c>
      <c r="E153">
        <v>41943</v>
      </c>
      <c r="F153">
        <v>0</v>
      </c>
      <c r="G153">
        <v>341</v>
      </c>
      <c r="H153">
        <v>150303</v>
      </c>
      <c r="I153">
        <v>0.42199999999999999</v>
      </c>
      <c r="J153">
        <v>-2521000</v>
      </c>
      <c r="K153">
        <v>-6272000</v>
      </c>
      <c r="L153">
        <v>495200</v>
      </c>
      <c r="M153">
        <v>4101</v>
      </c>
      <c r="N153">
        <v>-1169</v>
      </c>
      <c r="O153">
        <v>6016</v>
      </c>
      <c r="P153">
        <v>4.0257096289999996</v>
      </c>
      <c r="Q153">
        <v>-112.0340271</v>
      </c>
      <c r="R153">
        <v>399978.8125</v>
      </c>
    </row>
    <row r="154" spans="1:18" x14ac:dyDescent="0.25">
      <c r="A154">
        <v>2161</v>
      </c>
      <c r="B154">
        <v>49496</v>
      </c>
      <c r="C154">
        <v>83</v>
      </c>
      <c r="D154">
        <v>103</v>
      </c>
      <c r="E154">
        <v>9175</v>
      </c>
      <c r="F154">
        <v>0</v>
      </c>
      <c r="G154">
        <v>341</v>
      </c>
      <c r="H154">
        <v>150303</v>
      </c>
      <c r="I154">
        <v>0.42199999999999999</v>
      </c>
      <c r="J154">
        <v>-2521000</v>
      </c>
      <c r="K154">
        <v>-6272000</v>
      </c>
      <c r="L154">
        <v>495200</v>
      </c>
      <c r="M154">
        <v>4101</v>
      </c>
      <c r="N154">
        <v>-1169</v>
      </c>
      <c r="O154">
        <v>6016</v>
      </c>
      <c r="P154">
        <v>4.0257096289999996</v>
      </c>
      <c r="Q154">
        <v>-112.0340271</v>
      </c>
      <c r="R154">
        <v>399978.8125</v>
      </c>
    </row>
    <row r="155" spans="1:18" x14ac:dyDescent="0.25">
      <c r="A155">
        <v>2161</v>
      </c>
      <c r="B155">
        <v>49497</v>
      </c>
      <c r="C155">
        <v>83</v>
      </c>
      <c r="D155">
        <v>103</v>
      </c>
      <c r="E155">
        <v>25559</v>
      </c>
      <c r="F155">
        <v>0</v>
      </c>
      <c r="G155">
        <v>341</v>
      </c>
      <c r="H155">
        <v>150303</v>
      </c>
      <c r="I155">
        <v>0.42199999999999999</v>
      </c>
      <c r="J155">
        <v>-2521000</v>
      </c>
      <c r="K155">
        <v>-6272000</v>
      </c>
      <c r="L155">
        <v>495200</v>
      </c>
      <c r="M155">
        <v>4101</v>
      </c>
      <c r="N155">
        <v>-1169</v>
      </c>
      <c r="O155">
        <v>6016</v>
      </c>
      <c r="P155">
        <v>4.0257096289999996</v>
      </c>
      <c r="Q155">
        <v>-112.0340271</v>
      </c>
      <c r="R155">
        <v>399978.8125</v>
      </c>
    </row>
    <row r="156" spans="1:18" x14ac:dyDescent="0.25">
      <c r="A156">
        <v>2161</v>
      </c>
      <c r="B156">
        <v>49498</v>
      </c>
      <c r="C156">
        <v>83</v>
      </c>
      <c r="D156">
        <v>103</v>
      </c>
      <c r="E156">
        <v>41943</v>
      </c>
      <c r="F156">
        <v>0</v>
      </c>
      <c r="G156">
        <v>341</v>
      </c>
      <c r="H156">
        <v>150303</v>
      </c>
      <c r="I156">
        <v>0.42199999999999999</v>
      </c>
      <c r="J156">
        <v>-2521000</v>
      </c>
      <c r="K156">
        <v>-6272000</v>
      </c>
      <c r="L156">
        <v>495200</v>
      </c>
      <c r="M156">
        <v>4101</v>
      </c>
      <c r="N156">
        <v>-1169</v>
      </c>
      <c r="O156">
        <v>6016</v>
      </c>
      <c r="P156">
        <v>4.0257096289999996</v>
      </c>
      <c r="Q156">
        <v>-112.0340271</v>
      </c>
      <c r="R156">
        <v>399978.8125</v>
      </c>
    </row>
    <row r="157" spans="1:18" x14ac:dyDescent="0.25">
      <c r="A157">
        <v>2161</v>
      </c>
      <c r="B157">
        <v>49499</v>
      </c>
      <c r="C157">
        <v>83</v>
      </c>
      <c r="D157">
        <v>103</v>
      </c>
      <c r="E157">
        <v>58327</v>
      </c>
      <c r="F157">
        <v>0</v>
      </c>
      <c r="G157">
        <v>341</v>
      </c>
      <c r="H157">
        <v>150303</v>
      </c>
      <c r="I157">
        <v>0.42199999999999999</v>
      </c>
      <c r="J157">
        <v>-2521000</v>
      </c>
      <c r="K157">
        <v>-6272000</v>
      </c>
      <c r="L157">
        <v>495200</v>
      </c>
      <c r="M157">
        <v>4101</v>
      </c>
      <c r="N157">
        <v>-1169</v>
      </c>
      <c r="O157">
        <v>6016</v>
      </c>
      <c r="P157">
        <v>4.0257096289999996</v>
      </c>
      <c r="Q157">
        <v>-112.0340271</v>
      </c>
      <c r="R157">
        <v>399978.8125</v>
      </c>
    </row>
    <row r="158" spans="1:18" x14ac:dyDescent="0.25">
      <c r="A158">
        <v>2161</v>
      </c>
      <c r="B158">
        <v>49500</v>
      </c>
      <c r="C158">
        <v>83</v>
      </c>
      <c r="D158">
        <v>104</v>
      </c>
      <c r="E158">
        <v>9175</v>
      </c>
      <c r="F158">
        <v>0</v>
      </c>
      <c r="G158">
        <v>341</v>
      </c>
      <c r="H158">
        <v>150303</v>
      </c>
      <c r="I158">
        <v>0.42199999999999999</v>
      </c>
      <c r="J158">
        <v>-2521000</v>
      </c>
      <c r="K158">
        <v>-6272000</v>
      </c>
      <c r="L158">
        <v>495200</v>
      </c>
      <c r="M158">
        <v>4101</v>
      </c>
      <c r="N158">
        <v>-1169</v>
      </c>
      <c r="O158">
        <v>6016</v>
      </c>
      <c r="P158">
        <v>4.0257096289999996</v>
      </c>
      <c r="Q158">
        <v>-112.0340271</v>
      </c>
      <c r="R158">
        <v>399978.8125</v>
      </c>
    </row>
    <row r="159" spans="1:18" x14ac:dyDescent="0.25">
      <c r="A159">
        <v>2161</v>
      </c>
      <c r="B159">
        <v>49501</v>
      </c>
      <c r="C159">
        <v>83</v>
      </c>
      <c r="D159">
        <v>104</v>
      </c>
      <c r="E159">
        <v>25559</v>
      </c>
      <c r="F159">
        <v>0</v>
      </c>
      <c r="G159">
        <v>341</v>
      </c>
      <c r="H159">
        <v>150303</v>
      </c>
      <c r="I159">
        <v>0.42199999999999999</v>
      </c>
      <c r="J159">
        <v>-2521000</v>
      </c>
      <c r="K159">
        <v>-6272000</v>
      </c>
      <c r="L159">
        <v>495200</v>
      </c>
      <c r="M159">
        <v>4101</v>
      </c>
      <c r="N159">
        <v>-1169</v>
      </c>
      <c r="O159">
        <v>6016</v>
      </c>
      <c r="P159">
        <v>4.0257096289999996</v>
      </c>
      <c r="Q159">
        <v>-112.0340271</v>
      </c>
      <c r="R159">
        <v>399978.8125</v>
      </c>
    </row>
    <row r="160" spans="1:18" x14ac:dyDescent="0.25">
      <c r="A160">
        <v>2161</v>
      </c>
      <c r="B160">
        <v>49502</v>
      </c>
      <c r="C160">
        <v>83</v>
      </c>
      <c r="D160">
        <v>104</v>
      </c>
      <c r="E160">
        <v>41943</v>
      </c>
      <c r="F160">
        <v>0</v>
      </c>
      <c r="G160">
        <v>341</v>
      </c>
      <c r="H160">
        <v>150303</v>
      </c>
      <c r="I160">
        <v>0.42199999999999999</v>
      </c>
      <c r="J160">
        <v>-2521000</v>
      </c>
      <c r="K160">
        <v>-6272000</v>
      </c>
      <c r="L160">
        <v>495200</v>
      </c>
      <c r="M160">
        <v>4101</v>
      </c>
      <c r="N160">
        <v>-1169</v>
      </c>
      <c r="O160">
        <v>6016</v>
      </c>
      <c r="P160">
        <v>4.0257096289999996</v>
      </c>
      <c r="Q160">
        <v>-112.0340271</v>
      </c>
      <c r="R160">
        <v>399978.8125</v>
      </c>
    </row>
    <row r="161" spans="1:18" x14ac:dyDescent="0.25">
      <c r="A161">
        <v>2161</v>
      </c>
      <c r="B161">
        <v>49503</v>
      </c>
      <c r="C161">
        <v>83</v>
      </c>
      <c r="D161">
        <v>104</v>
      </c>
      <c r="E161">
        <v>58327</v>
      </c>
      <c r="F161">
        <v>0</v>
      </c>
      <c r="G161">
        <v>341</v>
      </c>
      <c r="H161">
        <v>150303</v>
      </c>
      <c r="I161">
        <v>0.42199999999999999</v>
      </c>
      <c r="J161">
        <v>-2521000</v>
      </c>
      <c r="K161">
        <v>-6272000</v>
      </c>
      <c r="L161">
        <v>495200</v>
      </c>
      <c r="M161">
        <v>4101</v>
      </c>
      <c r="N161">
        <v>-1169</v>
      </c>
      <c r="O161">
        <v>6016</v>
      </c>
      <c r="P161">
        <v>4.0257096289999996</v>
      </c>
      <c r="Q161">
        <v>-112.0340271</v>
      </c>
      <c r="R161">
        <v>399978.8125</v>
      </c>
    </row>
    <row r="162" spans="1:18" x14ac:dyDescent="0.25">
      <c r="A162">
        <v>2161</v>
      </c>
      <c r="B162">
        <v>49504</v>
      </c>
      <c r="C162">
        <v>83</v>
      </c>
      <c r="D162">
        <v>105</v>
      </c>
      <c r="E162">
        <v>9175</v>
      </c>
      <c r="F162">
        <v>0</v>
      </c>
      <c r="G162">
        <v>341</v>
      </c>
      <c r="H162">
        <v>150303</v>
      </c>
      <c r="I162">
        <v>0.42199999999999999</v>
      </c>
      <c r="J162">
        <v>-2521000</v>
      </c>
      <c r="K162">
        <v>-6272000</v>
      </c>
      <c r="L162">
        <v>495200</v>
      </c>
      <c r="M162">
        <v>4101</v>
      </c>
      <c r="N162">
        <v>-1169</v>
      </c>
      <c r="O162">
        <v>6016</v>
      </c>
      <c r="P162">
        <v>4.0257096289999996</v>
      </c>
      <c r="Q162">
        <v>-112.0340271</v>
      </c>
      <c r="R162">
        <v>399978.8125</v>
      </c>
    </row>
    <row r="163" spans="1:18" x14ac:dyDescent="0.25">
      <c r="A163">
        <v>2161</v>
      </c>
      <c r="B163">
        <v>49505</v>
      </c>
      <c r="C163">
        <v>83</v>
      </c>
      <c r="D163">
        <v>105</v>
      </c>
      <c r="E163">
        <v>25559</v>
      </c>
      <c r="F163">
        <v>0</v>
      </c>
      <c r="G163">
        <v>341</v>
      </c>
      <c r="H163">
        <v>150303</v>
      </c>
      <c r="I163">
        <v>0.42199999999999999</v>
      </c>
      <c r="J163">
        <v>-2521000</v>
      </c>
      <c r="K163">
        <v>-6272000</v>
      </c>
      <c r="L163">
        <v>495200</v>
      </c>
      <c r="M163">
        <v>4101</v>
      </c>
      <c r="N163">
        <v>-1169</v>
      </c>
      <c r="O163">
        <v>6016</v>
      </c>
      <c r="P163">
        <v>4.0257096289999996</v>
      </c>
      <c r="Q163">
        <v>-112.0340271</v>
      </c>
      <c r="R163">
        <v>399978.8125</v>
      </c>
    </row>
    <row r="164" spans="1:18" x14ac:dyDescent="0.25">
      <c r="A164">
        <v>2161</v>
      </c>
      <c r="B164">
        <v>49506</v>
      </c>
      <c r="C164">
        <v>83</v>
      </c>
      <c r="D164">
        <v>105</v>
      </c>
      <c r="E164">
        <v>41943</v>
      </c>
      <c r="F164">
        <v>0</v>
      </c>
      <c r="G164">
        <v>341</v>
      </c>
      <c r="H164">
        <v>150303</v>
      </c>
      <c r="I164">
        <v>0.42199999999999999</v>
      </c>
      <c r="J164">
        <v>-2521000</v>
      </c>
      <c r="K164">
        <v>-6272000</v>
      </c>
      <c r="L164">
        <v>495200</v>
      </c>
      <c r="M164">
        <v>4101</v>
      </c>
      <c r="N164">
        <v>-1169</v>
      </c>
      <c r="O164">
        <v>6016</v>
      </c>
      <c r="P164">
        <v>4.0257096289999996</v>
      </c>
      <c r="Q164">
        <v>-112.0340271</v>
      </c>
      <c r="R164">
        <v>399978.8125</v>
      </c>
    </row>
    <row r="165" spans="1:18" x14ac:dyDescent="0.25">
      <c r="A165">
        <v>2161</v>
      </c>
      <c r="B165">
        <v>49507</v>
      </c>
      <c r="C165">
        <v>83</v>
      </c>
      <c r="D165">
        <v>105</v>
      </c>
      <c r="E165">
        <v>58327</v>
      </c>
      <c r="F165">
        <v>0</v>
      </c>
      <c r="G165">
        <v>341</v>
      </c>
      <c r="H165">
        <v>150303</v>
      </c>
      <c r="I165">
        <v>0.42199999999999999</v>
      </c>
      <c r="J165">
        <v>-2521000</v>
      </c>
      <c r="K165">
        <v>-6272000</v>
      </c>
      <c r="L165">
        <v>495200</v>
      </c>
      <c r="M165">
        <v>4101</v>
      </c>
      <c r="N165">
        <v>-1169</v>
      </c>
      <c r="O165">
        <v>6016</v>
      </c>
      <c r="P165">
        <v>4.0257096289999996</v>
      </c>
      <c r="Q165">
        <v>-112.0340271</v>
      </c>
      <c r="R165">
        <v>399978.8125</v>
      </c>
    </row>
    <row r="166" spans="1:18" x14ac:dyDescent="0.25">
      <c r="A166">
        <v>2161</v>
      </c>
      <c r="B166">
        <v>49508</v>
      </c>
      <c r="C166">
        <v>83</v>
      </c>
      <c r="D166">
        <v>106</v>
      </c>
      <c r="E166">
        <v>9175</v>
      </c>
      <c r="F166">
        <v>0</v>
      </c>
      <c r="G166">
        <v>341</v>
      </c>
      <c r="H166">
        <v>150303</v>
      </c>
      <c r="I166">
        <v>0.42199999999999999</v>
      </c>
      <c r="J166">
        <v>-2521000</v>
      </c>
      <c r="K166">
        <v>-6272000</v>
      </c>
      <c r="L166">
        <v>495200</v>
      </c>
      <c r="M166">
        <v>4101</v>
      </c>
      <c r="N166">
        <v>-1169</v>
      </c>
      <c r="O166">
        <v>6016</v>
      </c>
      <c r="P166">
        <v>4.0257096289999996</v>
      </c>
      <c r="Q166">
        <v>-112.0340271</v>
      </c>
      <c r="R166">
        <v>399978.8125</v>
      </c>
    </row>
    <row r="167" spans="1:18" x14ac:dyDescent="0.25">
      <c r="A167">
        <v>2161</v>
      </c>
      <c r="B167">
        <v>49509</v>
      </c>
      <c r="C167">
        <v>83</v>
      </c>
      <c r="D167">
        <v>106</v>
      </c>
      <c r="E167">
        <v>25559</v>
      </c>
      <c r="F167">
        <v>0</v>
      </c>
      <c r="G167">
        <v>341</v>
      </c>
      <c r="H167">
        <v>150303</v>
      </c>
      <c r="I167">
        <v>0.42199999999999999</v>
      </c>
      <c r="J167">
        <v>-2521000</v>
      </c>
      <c r="K167">
        <v>-6272000</v>
      </c>
      <c r="L167">
        <v>495200</v>
      </c>
      <c r="M167">
        <v>4101</v>
      </c>
      <c r="N167">
        <v>-1169</v>
      </c>
      <c r="O167">
        <v>6016</v>
      </c>
      <c r="P167">
        <v>4.0257096289999996</v>
      </c>
      <c r="Q167">
        <v>-112.0340271</v>
      </c>
      <c r="R167">
        <v>399978.8125</v>
      </c>
    </row>
    <row r="168" spans="1:18" x14ac:dyDescent="0.25">
      <c r="A168">
        <v>2161</v>
      </c>
      <c r="B168">
        <v>49510</v>
      </c>
      <c r="C168">
        <v>83</v>
      </c>
      <c r="D168">
        <v>106</v>
      </c>
      <c r="E168">
        <v>41943</v>
      </c>
      <c r="F168">
        <v>0</v>
      </c>
      <c r="G168">
        <v>341</v>
      </c>
      <c r="H168">
        <v>150303</v>
      </c>
      <c r="I168">
        <v>0.42199999999999999</v>
      </c>
      <c r="J168">
        <v>-2521000</v>
      </c>
      <c r="K168">
        <v>-6272000</v>
      </c>
      <c r="L168">
        <v>495200</v>
      </c>
      <c r="M168">
        <v>4101</v>
      </c>
      <c r="N168">
        <v>-1169</v>
      </c>
      <c r="O168">
        <v>6016</v>
      </c>
      <c r="P168">
        <v>4.0257096289999996</v>
      </c>
      <c r="Q168">
        <v>-112.0340271</v>
      </c>
      <c r="R168">
        <v>399978.8125</v>
      </c>
    </row>
    <row r="169" spans="1:18" x14ac:dyDescent="0.25">
      <c r="A169">
        <v>2161</v>
      </c>
      <c r="B169">
        <v>49511</v>
      </c>
      <c r="C169">
        <v>83</v>
      </c>
      <c r="D169">
        <v>106</v>
      </c>
      <c r="E169">
        <v>58327</v>
      </c>
      <c r="F169">
        <v>0</v>
      </c>
      <c r="G169">
        <v>341</v>
      </c>
      <c r="H169">
        <v>150303</v>
      </c>
      <c r="I169">
        <v>0.42199999999999999</v>
      </c>
      <c r="J169">
        <v>-2521000</v>
      </c>
      <c r="K169">
        <v>-6272000</v>
      </c>
      <c r="L169">
        <v>495200</v>
      </c>
      <c r="M169">
        <v>4101</v>
      </c>
      <c r="N169">
        <v>-1169</v>
      </c>
      <c r="O169">
        <v>6016</v>
      </c>
      <c r="P169">
        <v>4.0257096289999996</v>
      </c>
      <c r="Q169">
        <v>-112.0340271</v>
      </c>
      <c r="R169">
        <v>399978.8125</v>
      </c>
    </row>
    <row r="170" spans="1:18" x14ac:dyDescent="0.25">
      <c r="A170">
        <v>2161</v>
      </c>
      <c r="B170">
        <v>49512</v>
      </c>
      <c r="C170">
        <v>83</v>
      </c>
      <c r="D170">
        <v>107</v>
      </c>
      <c r="E170">
        <v>9175</v>
      </c>
      <c r="F170">
        <v>0</v>
      </c>
      <c r="G170">
        <v>341</v>
      </c>
      <c r="H170">
        <v>150303</v>
      </c>
      <c r="I170">
        <v>0.42199999999999999</v>
      </c>
      <c r="J170">
        <v>-2521000</v>
      </c>
      <c r="K170">
        <v>-6272000</v>
      </c>
      <c r="L170">
        <v>495200</v>
      </c>
      <c r="M170">
        <v>4101</v>
      </c>
      <c r="N170">
        <v>-1169</v>
      </c>
      <c r="O170">
        <v>6016</v>
      </c>
      <c r="P170">
        <v>4.0257096289999996</v>
      </c>
      <c r="Q170">
        <v>-112.0340271</v>
      </c>
      <c r="R170">
        <v>399978.8125</v>
      </c>
    </row>
    <row r="171" spans="1:18" x14ac:dyDescent="0.25">
      <c r="A171">
        <v>2161</v>
      </c>
      <c r="B171">
        <v>49513</v>
      </c>
      <c r="C171">
        <v>83</v>
      </c>
      <c r="D171">
        <v>107</v>
      </c>
      <c r="E171">
        <v>25559</v>
      </c>
      <c r="F171">
        <v>0</v>
      </c>
      <c r="G171">
        <v>341</v>
      </c>
      <c r="H171">
        <v>150303</v>
      </c>
      <c r="I171">
        <v>0.42199999999999999</v>
      </c>
      <c r="J171">
        <v>-2521000</v>
      </c>
      <c r="K171">
        <v>-6272000</v>
      </c>
      <c r="L171">
        <v>495200</v>
      </c>
      <c r="M171">
        <v>4101</v>
      </c>
      <c r="N171">
        <v>-1169</v>
      </c>
      <c r="O171">
        <v>6016</v>
      </c>
      <c r="P171">
        <v>4.0257096289999996</v>
      </c>
      <c r="Q171">
        <v>-112.0340271</v>
      </c>
      <c r="R171">
        <v>399978.8125</v>
      </c>
    </row>
    <row r="172" spans="1:18" x14ac:dyDescent="0.25">
      <c r="A172">
        <v>2161</v>
      </c>
      <c r="B172">
        <v>49514</v>
      </c>
      <c r="C172">
        <v>83</v>
      </c>
      <c r="D172">
        <v>107</v>
      </c>
      <c r="E172">
        <v>42598</v>
      </c>
      <c r="F172">
        <v>0</v>
      </c>
      <c r="G172">
        <v>341</v>
      </c>
      <c r="H172">
        <v>150303</v>
      </c>
      <c r="I172">
        <v>0.42199999999999999</v>
      </c>
      <c r="J172">
        <v>-2521000</v>
      </c>
      <c r="K172">
        <v>-6272000</v>
      </c>
      <c r="L172">
        <v>495200</v>
      </c>
      <c r="M172">
        <v>4101</v>
      </c>
      <c r="N172">
        <v>-1169</v>
      </c>
      <c r="O172">
        <v>6016</v>
      </c>
      <c r="P172">
        <v>4.0257096289999996</v>
      </c>
      <c r="Q172">
        <v>-112.0340271</v>
      </c>
      <c r="R172">
        <v>399978.8125</v>
      </c>
    </row>
    <row r="173" spans="1:18" x14ac:dyDescent="0.25">
      <c r="A173">
        <v>2161</v>
      </c>
      <c r="B173">
        <v>49515</v>
      </c>
      <c r="C173">
        <v>83</v>
      </c>
      <c r="D173">
        <v>107</v>
      </c>
      <c r="E173">
        <v>58982</v>
      </c>
      <c r="F173">
        <v>0</v>
      </c>
      <c r="G173">
        <v>341</v>
      </c>
      <c r="H173">
        <v>150303</v>
      </c>
      <c r="I173">
        <v>0.42199999999999999</v>
      </c>
      <c r="J173">
        <v>-2521000</v>
      </c>
      <c r="K173">
        <v>-6272000</v>
      </c>
      <c r="L173">
        <v>495200</v>
      </c>
      <c r="M173">
        <v>4101</v>
      </c>
      <c r="N173">
        <v>-1169</v>
      </c>
      <c r="O173">
        <v>6016</v>
      </c>
      <c r="P173">
        <v>4.0257096289999996</v>
      </c>
      <c r="Q173">
        <v>-112.0340271</v>
      </c>
      <c r="R173">
        <v>399978.8125</v>
      </c>
    </row>
    <row r="174" spans="1:18" x14ac:dyDescent="0.25">
      <c r="A174">
        <v>2161</v>
      </c>
      <c r="B174">
        <v>49516</v>
      </c>
      <c r="C174">
        <v>83</v>
      </c>
      <c r="D174">
        <v>108</v>
      </c>
      <c r="E174">
        <v>9830</v>
      </c>
      <c r="F174">
        <v>0</v>
      </c>
      <c r="G174">
        <v>341</v>
      </c>
      <c r="H174">
        <v>150303</v>
      </c>
      <c r="I174">
        <v>0.42199999999999999</v>
      </c>
      <c r="J174">
        <v>-2521000</v>
      </c>
      <c r="K174">
        <v>-6272000</v>
      </c>
      <c r="L174">
        <v>495200</v>
      </c>
      <c r="M174">
        <v>4101</v>
      </c>
      <c r="N174">
        <v>-1169</v>
      </c>
      <c r="O174">
        <v>6016</v>
      </c>
      <c r="P174">
        <v>4.0257096289999996</v>
      </c>
      <c r="Q174">
        <v>-112.0340271</v>
      </c>
      <c r="R174">
        <v>399978.8125</v>
      </c>
    </row>
    <row r="175" spans="1:18" x14ac:dyDescent="0.25">
      <c r="A175">
        <v>2161</v>
      </c>
      <c r="B175">
        <v>49517</v>
      </c>
      <c r="C175">
        <v>83</v>
      </c>
      <c r="D175">
        <v>108</v>
      </c>
      <c r="E175">
        <v>26214</v>
      </c>
      <c r="F175">
        <v>0</v>
      </c>
      <c r="G175">
        <v>341</v>
      </c>
      <c r="H175">
        <v>150303</v>
      </c>
      <c r="I175">
        <v>0.42199999999999999</v>
      </c>
      <c r="J175">
        <v>-2521000</v>
      </c>
      <c r="K175">
        <v>-6272000</v>
      </c>
      <c r="L175">
        <v>495200</v>
      </c>
      <c r="M175">
        <v>4101</v>
      </c>
      <c r="N175">
        <v>-1169</v>
      </c>
      <c r="O175">
        <v>6016</v>
      </c>
      <c r="P175">
        <v>4.0257096289999996</v>
      </c>
      <c r="Q175">
        <v>-112.0340271</v>
      </c>
      <c r="R175">
        <v>399978.8125</v>
      </c>
    </row>
    <row r="176" spans="1:18" x14ac:dyDescent="0.25">
      <c r="A176">
        <v>2161</v>
      </c>
      <c r="B176">
        <v>49518</v>
      </c>
      <c r="C176">
        <v>83</v>
      </c>
      <c r="D176">
        <v>108</v>
      </c>
      <c r="E176">
        <v>42598</v>
      </c>
      <c r="F176">
        <v>0</v>
      </c>
      <c r="G176">
        <v>341</v>
      </c>
      <c r="H176">
        <v>150303</v>
      </c>
      <c r="I176">
        <v>0.42199999999999999</v>
      </c>
      <c r="J176">
        <v>-2521000</v>
      </c>
      <c r="K176">
        <v>-6272000</v>
      </c>
      <c r="L176">
        <v>495200</v>
      </c>
      <c r="M176">
        <v>4101</v>
      </c>
      <c r="N176">
        <v>-1169</v>
      </c>
      <c r="O176">
        <v>6016</v>
      </c>
      <c r="P176">
        <v>4.0257096289999996</v>
      </c>
      <c r="Q176">
        <v>-112.0340271</v>
      </c>
      <c r="R176">
        <v>399978.8125</v>
      </c>
    </row>
    <row r="177" spans="1:18" x14ac:dyDescent="0.25">
      <c r="A177">
        <v>2161</v>
      </c>
      <c r="B177">
        <v>49519</v>
      </c>
      <c r="C177">
        <v>83</v>
      </c>
      <c r="D177">
        <v>108</v>
      </c>
      <c r="E177">
        <v>58982</v>
      </c>
      <c r="F177">
        <v>0</v>
      </c>
      <c r="G177">
        <v>341</v>
      </c>
      <c r="H177">
        <v>150303</v>
      </c>
      <c r="I177">
        <v>0.42199999999999999</v>
      </c>
      <c r="J177">
        <v>-2521000</v>
      </c>
      <c r="K177">
        <v>-6272000</v>
      </c>
      <c r="L177">
        <v>495200</v>
      </c>
      <c r="M177">
        <v>4101</v>
      </c>
      <c r="N177">
        <v>-1169</v>
      </c>
      <c r="O177">
        <v>6016</v>
      </c>
      <c r="P177">
        <v>4.0257096289999996</v>
      </c>
      <c r="Q177">
        <v>-112.0340271</v>
      </c>
      <c r="R177">
        <v>399978.8125</v>
      </c>
    </row>
    <row r="178" spans="1:18" x14ac:dyDescent="0.25">
      <c r="A178">
        <v>2161</v>
      </c>
      <c r="B178">
        <v>49520</v>
      </c>
      <c r="C178">
        <v>83</v>
      </c>
      <c r="D178">
        <v>109</v>
      </c>
      <c r="E178">
        <v>9830</v>
      </c>
      <c r="F178">
        <v>0</v>
      </c>
      <c r="G178">
        <v>341</v>
      </c>
      <c r="H178">
        <v>150303</v>
      </c>
      <c r="I178">
        <v>0.42199999999999999</v>
      </c>
      <c r="J178">
        <v>-2521000</v>
      </c>
      <c r="K178">
        <v>-6272000</v>
      </c>
      <c r="L178">
        <v>495200</v>
      </c>
      <c r="M178">
        <v>4101</v>
      </c>
      <c r="N178">
        <v>-1169</v>
      </c>
      <c r="O178">
        <v>6016</v>
      </c>
      <c r="P178">
        <v>4.0257096289999996</v>
      </c>
      <c r="Q178">
        <v>-112.0340271</v>
      </c>
      <c r="R178">
        <v>399978.8125</v>
      </c>
    </row>
    <row r="179" spans="1:18" x14ac:dyDescent="0.25">
      <c r="A179">
        <v>2161</v>
      </c>
      <c r="B179">
        <v>49521</v>
      </c>
      <c r="C179">
        <v>83</v>
      </c>
      <c r="D179">
        <v>109</v>
      </c>
      <c r="E179">
        <v>26214</v>
      </c>
      <c r="F179">
        <v>0</v>
      </c>
      <c r="G179">
        <v>341</v>
      </c>
      <c r="H179">
        <v>150303</v>
      </c>
      <c r="I179">
        <v>0.42199999999999999</v>
      </c>
      <c r="J179">
        <v>-2521000</v>
      </c>
      <c r="K179">
        <v>-6272000</v>
      </c>
      <c r="L179">
        <v>495200</v>
      </c>
      <c r="M179">
        <v>4101</v>
      </c>
      <c r="N179">
        <v>-1169</v>
      </c>
      <c r="O179">
        <v>6016</v>
      </c>
      <c r="P179">
        <v>4.0257096289999996</v>
      </c>
      <c r="Q179">
        <v>-112.0340271</v>
      </c>
      <c r="R179">
        <v>399978.8125</v>
      </c>
    </row>
    <row r="180" spans="1:18" x14ac:dyDescent="0.25">
      <c r="A180">
        <v>2161</v>
      </c>
      <c r="B180">
        <v>49522</v>
      </c>
      <c r="C180">
        <v>83</v>
      </c>
      <c r="D180">
        <v>109</v>
      </c>
      <c r="E180">
        <v>42598</v>
      </c>
      <c r="F180">
        <v>0</v>
      </c>
      <c r="G180">
        <v>341</v>
      </c>
      <c r="H180">
        <v>150303</v>
      </c>
      <c r="I180">
        <v>0.42199999999999999</v>
      </c>
      <c r="J180">
        <v>-2521000</v>
      </c>
      <c r="K180">
        <v>-6272000</v>
      </c>
      <c r="L180">
        <v>495200</v>
      </c>
      <c r="M180">
        <v>4101</v>
      </c>
      <c r="N180">
        <v>-1169</v>
      </c>
      <c r="O180">
        <v>6016</v>
      </c>
      <c r="P180">
        <v>4.0257096289999996</v>
      </c>
      <c r="Q180">
        <v>-112.0340271</v>
      </c>
      <c r="R180">
        <v>399978.8125</v>
      </c>
    </row>
    <row r="181" spans="1:18" x14ac:dyDescent="0.25">
      <c r="A181">
        <v>2161</v>
      </c>
      <c r="B181">
        <v>49523</v>
      </c>
      <c r="C181">
        <v>83</v>
      </c>
      <c r="D181">
        <v>109</v>
      </c>
      <c r="E181">
        <v>58982</v>
      </c>
      <c r="F181">
        <v>0</v>
      </c>
      <c r="G181">
        <v>341</v>
      </c>
      <c r="H181">
        <v>150303</v>
      </c>
      <c r="I181">
        <v>0.42199999999999999</v>
      </c>
      <c r="J181">
        <v>-2521000</v>
      </c>
      <c r="K181">
        <v>-6272000</v>
      </c>
      <c r="L181">
        <v>495200</v>
      </c>
      <c r="M181">
        <v>4101</v>
      </c>
      <c r="N181">
        <v>-1169</v>
      </c>
      <c r="O181">
        <v>6016</v>
      </c>
      <c r="P181">
        <v>4.0257096289999996</v>
      </c>
      <c r="Q181">
        <v>-112.0340271</v>
      </c>
      <c r="R181">
        <v>399978.8125</v>
      </c>
    </row>
    <row r="182" spans="1:18" x14ac:dyDescent="0.25">
      <c r="A182">
        <v>2161</v>
      </c>
      <c r="B182">
        <v>49524</v>
      </c>
      <c r="C182">
        <v>83</v>
      </c>
      <c r="D182">
        <v>110</v>
      </c>
      <c r="E182">
        <v>9830</v>
      </c>
      <c r="F182">
        <v>0</v>
      </c>
      <c r="G182">
        <v>341</v>
      </c>
      <c r="H182">
        <v>150303</v>
      </c>
      <c r="I182">
        <v>0.42199999999999999</v>
      </c>
      <c r="J182">
        <v>-2521000</v>
      </c>
      <c r="K182">
        <v>-6272000</v>
      </c>
      <c r="L182">
        <v>495200</v>
      </c>
      <c r="M182">
        <v>4101</v>
      </c>
      <c r="N182">
        <v>-1169</v>
      </c>
      <c r="O182">
        <v>6016</v>
      </c>
      <c r="P182">
        <v>4.0257096289999996</v>
      </c>
      <c r="Q182">
        <v>-112.0340271</v>
      </c>
      <c r="R182">
        <v>399978.8125</v>
      </c>
    </row>
    <row r="183" spans="1:18" x14ac:dyDescent="0.25">
      <c r="A183">
        <v>2161</v>
      </c>
      <c r="B183">
        <v>49525</v>
      </c>
      <c r="C183">
        <v>83</v>
      </c>
      <c r="D183">
        <v>110</v>
      </c>
      <c r="E183">
        <v>26214</v>
      </c>
      <c r="F183">
        <v>0</v>
      </c>
      <c r="G183">
        <v>341</v>
      </c>
      <c r="H183">
        <v>150303</v>
      </c>
      <c r="I183">
        <v>0.42199999999999999</v>
      </c>
      <c r="J183">
        <v>-2521000</v>
      </c>
      <c r="K183">
        <v>-6272000</v>
      </c>
      <c r="L183">
        <v>495200</v>
      </c>
      <c r="M183">
        <v>4101</v>
      </c>
      <c r="N183">
        <v>-1169</v>
      </c>
      <c r="O183">
        <v>6016</v>
      </c>
      <c r="P183">
        <v>4.0257096289999996</v>
      </c>
      <c r="Q183">
        <v>-112.0340271</v>
      </c>
      <c r="R183">
        <v>399978.8125</v>
      </c>
    </row>
    <row r="184" spans="1:18" x14ac:dyDescent="0.25">
      <c r="A184">
        <v>2161</v>
      </c>
      <c r="B184">
        <v>49526</v>
      </c>
      <c r="C184">
        <v>83</v>
      </c>
      <c r="D184">
        <v>110</v>
      </c>
      <c r="E184">
        <v>42598</v>
      </c>
      <c r="F184">
        <v>0</v>
      </c>
      <c r="G184">
        <v>341</v>
      </c>
      <c r="H184">
        <v>150303</v>
      </c>
      <c r="I184">
        <v>0.42199999999999999</v>
      </c>
      <c r="J184">
        <v>-2521000</v>
      </c>
      <c r="K184">
        <v>-6272000</v>
      </c>
      <c r="L184">
        <v>495200</v>
      </c>
      <c r="M184">
        <v>4101</v>
      </c>
      <c r="N184">
        <v>-1169</v>
      </c>
      <c r="O184">
        <v>6016</v>
      </c>
      <c r="P184">
        <v>4.0257096289999996</v>
      </c>
      <c r="Q184">
        <v>-112.0340271</v>
      </c>
      <c r="R184">
        <v>399978.8125</v>
      </c>
    </row>
    <row r="185" spans="1:18" x14ac:dyDescent="0.25">
      <c r="A185">
        <v>2161</v>
      </c>
      <c r="B185">
        <v>49527</v>
      </c>
      <c r="C185">
        <v>83</v>
      </c>
      <c r="D185">
        <v>110</v>
      </c>
      <c r="E185">
        <v>58982</v>
      </c>
      <c r="F185">
        <v>0</v>
      </c>
      <c r="G185">
        <v>341</v>
      </c>
      <c r="H185">
        <v>150303</v>
      </c>
      <c r="I185">
        <v>0.42199999999999999</v>
      </c>
      <c r="J185">
        <v>-2521000</v>
      </c>
      <c r="K185">
        <v>-6272000</v>
      </c>
      <c r="L185">
        <v>495200</v>
      </c>
      <c r="M185">
        <v>4101</v>
      </c>
      <c r="N185">
        <v>-1169</v>
      </c>
      <c r="O185">
        <v>6016</v>
      </c>
      <c r="P185">
        <v>4.0257096289999996</v>
      </c>
      <c r="Q185">
        <v>-112.0340271</v>
      </c>
      <c r="R185">
        <v>399978.8125</v>
      </c>
    </row>
    <row r="186" spans="1:18" x14ac:dyDescent="0.25">
      <c r="A186">
        <v>2161</v>
      </c>
      <c r="B186">
        <v>49528</v>
      </c>
      <c r="C186">
        <v>83</v>
      </c>
      <c r="D186">
        <v>111</v>
      </c>
      <c r="E186">
        <v>9830</v>
      </c>
      <c r="F186">
        <v>0</v>
      </c>
      <c r="G186">
        <v>341</v>
      </c>
      <c r="H186">
        <v>150303</v>
      </c>
      <c r="I186">
        <v>0.42199999999999999</v>
      </c>
      <c r="J186">
        <v>-2521000</v>
      </c>
      <c r="K186">
        <v>-6272000</v>
      </c>
      <c r="L186">
        <v>495200</v>
      </c>
      <c r="M186">
        <v>4101</v>
      </c>
      <c r="N186">
        <v>-1169</v>
      </c>
      <c r="O186">
        <v>6016</v>
      </c>
      <c r="P186">
        <v>4.0257096289999996</v>
      </c>
      <c r="Q186">
        <v>-112.0340271</v>
      </c>
      <c r="R186">
        <v>399978.8125</v>
      </c>
    </row>
    <row r="187" spans="1:18" x14ac:dyDescent="0.25">
      <c r="A187">
        <v>2161</v>
      </c>
      <c r="B187">
        <v>49529</v>
      </c>
      <c r="C187">
        <v>83</v>
      </c>
      <c r="D187">
        <v>111</v>
      </c>
      <c r="E187">
        <v>26214</v>
      </c>
      <c r="F187">
        <v>0</v>
      </c>
      <c r="G187">
        <v>341</v>
      </c>
      <c r="H187">
        <v>150303</v>
      </c>
      <c r="I187">
        <v>0.42199999999999999</v>
      </c>
      <c r="J187">
        <v>-2521000</v>
      </c>
      <c r="K187">
        <v>-6272000</v>
      </c>
      <c r="L187">
        <v>495200</v>
      </c>
      <c r="M187">
        <v>4101</v>
      </c>
      <c r="N187">
        <v>-1169</v>
      </c>
      <c r="O187">
        <v>6016</v>
      </c>
      <c r="P187">
        <v>4.0257096289999996</v>
      </c>
      <c r="Q187">
        <v>-112.0340271</v>
      </c>
      <c r="R187">
        <v>399978.8125</v>
      </c>
    </row>
    <row r="188" spans="1:18" x14ac:dyDescent="0.25">
      <c r="A188">
        <v>2161</v>
      </c>
      <c r="B188">
        <v>49530</v>
      </c>
      <c r="C188">
        <v>83</v>
      </c>
      <c r="D188">
        <v>111</v>
      </c>
      <c r="E188">
        <v>42598</v>
      </c>
      <c r="F188">
        <v>0</v>
      </c>
      <c r="G188">
        <v>341</v>
      </c>
      <c r="H188">
        <v>150303</v>
      </c>
      <c r="I188">
        <v>0.42199999999999999</v>
      </c>
      <c r="J188">
        <v>-2521000</v>
      </c>
      <c r="K188">
        <v>-6272000</v>
      </c>
      <c r="L188">
        <v>495200</v>
      </c>
      <c r="M188">
        <v>4101</v>
      </c>
      <c r="N188">
        <v>-1169</v>
      </c>
      <c r="O188">
        <v>6016</v>
      </c>
      <c r="P188">
        <v>4.0257096289999996</v>
      </c>
      <c r="Q188">
        <v>-112.0340271</v>
      </c>
      <c r="R188">
        <v>399978.8125</v>
      </c>
    </row>
    <row r="189" spans="1:18" x14ac:dyDescent="0.25">
      <c r="A189">
        <v>2161</v>
      </c>
      <c r="B189">
        <v>49531</v>
      </c>
      <c r="C189">
        <v>83</v>
      </c>
      <c r="D189">
        <v>111</v>
      </c>
      <c r="E189">
        <v>58982</v>
      </c>
      <c r="F189">
        <v>0</v>
      </c>
      <c r="G189">
        <v>341</v>
      </c>
      <c r="H189">
        <v>150303</v>
      </c>
      <c r="I189">
        <v>0.42199999999999999</v>
      </c>
      <c r="J189">
        <v>-2521000</v>
      </c>
      <c r="K189">
        <v>-6272000</v>
      </c>
      <c r="L189">
        <v>495200</v>
      </c>
      <c r="M189">
        <v>4101</v>
      </c>
      <c r="N189">
        <v>-1169</v>
      </c>
      <c r="O189">
        <v>6016</v>
      </c>
      <c r="P189">
        <v>4.0257096289999996</v>
      </c>
      <c r="Q189">
        <v>-112.0340271</v>
      </c>
      <c r="R189">
        <v>399978.8125</v>
      </c>
    </row>
    <row r="190" spans="1:18" x14ac:dyDescent="0.25">
      <c r="A190">
        <v>2161</v>
      </c>
      <c r="B190">
        <v>49532</v>
      </c>
      <c r="C190">
        <v>83</v>
      </c>
      <c r="D190">
        <v>112</v>
      </c>
      <c r="E190">
        <v>9830</v>
      </c>
      <c r="F190">
        <v>0</v>
      </c>
      <c r="G190">
        <v>341</v>
      </c>
      <c r="H190">
        <v>150303</v>
      </c>
      <c r="I190">
        <v>0.42199999999999999</v>
      </c>
      <c r="J190">
        <v>-2521000</v>
      </c>
      <c r="K190">
        <v>-6272000</v>
      </c>
      <c r="L190">
        <v>495200</v>
      </c>
      <c r="M190">
        <v>4101</v>
      </c>
      <c r="N190">
        <v>-1169</v>
      </c>
      <c r="O190">
        <v>6016</v>
      </c>
      <c r="P190">
        <v>4.0257096289999996</v>
      </c>
      <c r="Q190">
        <v>-112.0340271</v>
      </c>
      <c r="R190">
        <v>399978.8125</v>
      </c>
    </row>
    <row r="191" spans="1:18" x14ac:dyDescent="0.25">
      <c r="A191">
        <v>2161</v>
      </c>
      <c r="B191">
        <v>49533</v>
      </c>
      <c r="C191">
        <v>83</v>
      </c>
      <c r="D191">
        <v>112</v>
      </c>
      <c r="E191">
        <v>26214</v>
      </c>
      <c r="F191">
        <v>0</v>
      </c>
      <c r="G191">
        <v>341</v>
      </c>
      <c r="H191">
        <v>150303</v>
      </c>
      <c r="I191">
        <v>0.42199999999999999</v>
      </c>
      <c r="J191">
        <v>-2521000</v>
      </c>
      <c r="K191">
        <v>-6272000</v>
      </c>
      <c r="L191">
        <v>495200</v>
      </c>
      <c r="M191">
        <v>4101</v>
      </c>
      <c r="N191">
        <v>-1169</v>
      </c>
      <c r="O191">
        <v>6016</v>
      </c>
      <c r="P191">
        <v>4.0257096289999996</v>
      </c>
      <c r="Q191">
        <v>-112.0340271</v>
      </c>
      <c r="R191">
        <v>399978.8125</v>
      </c>
    </row>
    <row r="192" spans="1:18" x14ac:dyDescent="0.25">
      <c r="A192">
        <v>2161</v>
      </c>
      <c r="B192">
        <v>49534</v>
      </c>
      <c r="C192">
        <v>83</v>
      </c>
      <c r="D192">
        <v>112</v>
      </c>
      <c r="E192">
        <v>42598</v>
      </c>
      <c r="F192">
        <v>0</v>
      </c>
      <c r="G192">
        <v>341</v>
      </c>
      <c r="H192">
        <v>150303</v>
      </c>
      <c r="I192">
        <v>0.42199999999999999</v>
      </c>
      <c r="J192">
        <v>-2521000</v>
      </c>
      <c r="K192">
        <v>-6272000</v>
      </c>
      <c r="L192">
        <v>495200</v>
      </c>
      <c r="M192">
        <v>4101</v>
      </c>
      <c r="N192">
        <v>-1169</v>
      </c>
      <c r="O192">
        <v>6016</v>
      </c>
      <c r="P192">
        <v>4.0257096289999996</v>
      </c>
      <c r="Q192">
        <v>-112.0340271</v>
      </c>
      <c r="R192">
        <v>399978.8125</v>
      </c>
    </row>
    <row r="193" spans="1:18" x14ac:dyDescent="0.25">
      <c r="A193">
        <v>2161</v>
      </c>
      <c r="B193">
        <v>49535</v>
      </c>
      <c r="C193">
        <v>83</v>
      </c>
      <c r="D193">
        <v>112</v>
      </c>
      <c r="E193">
        <v>58982</v>
      </c>
      <c r="F193">
        <v>0</v>
      </c>
      <c r="G193">
        <v>341</v>
      </c>
      <c r="H193">
        <v>150303</v>
      </c>
      <c r="I193">
        <v>0.42199999999999999</v>
      </c>
      <c r="J193">
        <v>-2521000</v>
      </c>
      <c r="K193">
        <v>-6272000</v>
      </c>
      <c r="L193">
        <v>495200</v>
      </c>
      <c r="M193">
        <v>4101</v>
      </c>
      <c r="N193">
        <v>-1169</v>
      </c>
      <c r="O193">
        <v>6016</v>
      </c>
      <c r="P193">
        <v>4.0257096289999996</v>
      </c>
      <c r="Q193">
        <v>-112.0340271</v>
      </c>
      <c r="R193">
        <v>399978.8125</v>
      </c>
    </row>
    <row r="194" spans="1:18" x14ac:dyDescent="0.25">
      <c r="A194">
        <v>2161</v>
      </c>
      <c r="B194">
        <v>49536</v>
      </c>
      <c r="C194">
        <v>83</v>
      </c>
      <c r="D194">
        <v>113</v>
      </c>
      <c r="E194">
        <v>9830</v>
      </c>
      <c r="F194">
        <v>0</v>
      </c>
      <c r="G194">
        <v>341</v>
      </c>
      <c r="H194">
        <v>150303</v>
      </c>
      <c r="I194">
        <v>0.42199999999999999</v>
      </c>
      <c r="J194">
        <v>-2521000</v>
      </c>
      <c r="K194">
        <v>-6272000</v>
      </c>
      <c r="L194">
        <v>495200</v>
      </c>
      <c r="M194">
        <v>4101</v>
      </c>
      <c r="N194">
        <v>-1169</v>
      </c>
      <c r="O194">
        <v>6016</v>
      </c>
      <c r="P194">
        <v>4.0257096289999996</v>
      </c>
      <c r="Q194">
        <v>-112.0340271</v>
      </c>
      <c r="R194">
        <v>399978.8125</v>
      </c>
    </row>
    <row r="195" spans="1:18" x14ac:dyDescent="0.25">
      <c r="A195">
        <v>2161</v>
      </c>
      <c r="B195">
        <v>49537</v>
      </c>
      <c r="C195">
        <v>83</v>
      </c>
      <c r="D195">
        <v>113</v>
      </c>
      <c r="E195">
        <v>26869</v>
      </c>
      <c r="F195">
        <v>0</v>
      </c>
      <c r="G195">
        <v>341</v>
      </c>
      <c r="H195">
        <v>150303</v>
      </c>
      <c r="I195">
        <v>0.42199999999999999</v>
      </c>
      <c r="J195">
        <v>-2521000</v>
      </c>
      <c r="K195">
        <v>-6272000</v>
      </c>
      <c r="L195">
        <v>495200</v>
      </c>
      <c r="M195">
        <v>4101</v>
      </c>
      <c r="N195">
        <v>-1169</v>
      </c>
      <c r="O195">
        <v>6016</v>
      </c>
      <c r="P195">
        <v>4.0257096289999996</v>
      </c>
      <c r="Q195">
        <v>-112.0340271</v>
      </c>
      <c r="R195">
        <v>399978.8125</v>
      </c>
    </row>
    <row r="196" spans="1:18" x14ac:dyDescent="0.25">
      <c r="A196">
        <v>2161</v>
      </c>
      <c r="B196">
        <v>49538</v>
      </c>
      <c r="C196">
        <v>83</v>
      </c>
      <c r="D196">
        <v>113</v>
      </c>
      <c r="E196">
        <v>43253</v>
      </c>
      <c r="F196">
        <v>0</v>
      </c>
      <c r="G196">
        <v>341</v>
      </c>
      <c r="H196">
        <v>150303</v>
      </c>
      <c r="I196">
        <v>0.42199999999999999</v>
      </c>
      <c r="J196">
        <v>-2521000</v>
      </c>
      <c r="K196">
        <v>-6272000</v>
      </c>
      <c r="L196">
        <v>495200</v>
      </c>
      <c r="M196">
        <v>4101</v>
      </c>
      <c r="N196">
        <v>-1169</v>
      </c>
      <c r="O196">
        <v>6016</v>
      </c>
      <c r="P196">
        <v>4.0257096289999996</v>
      </c>
      <c r="Q196">
        <v>-112.0340271</v>
      </c>
      <c r="R196">
        <v>399978.8125</v>
      </c>
    </row>
    <row r="197" spans="1:18" x14ac:dyDescent="0.25">
      <c r="A197">
        <v>2161</v>
      </c>
      <c r="B197">
        <v>49539</v>
      </c>
      <c r="C197">
        <v>83</v>
      </c>
      <c r="D197">
        <v>113</v>
      </c>
      <c r="E197">
        <v>59637</v>
      </c>
      <c r="F197">
        <v>0</v>
      </c>
      <c r="G197">
        <v>341</v>
      </c>
      <c r="H197">
        <v>150303</v>
      </c>
      <c r="I197">
        <v>0.42199999999999999</v>
      </c>
      <c r="J197">
        <v>-2521000</v>
      </c>
      <c r="K197">
        <v>-6272000</v>
      </c>
      <c r="L197">
        <v>495200</v>
      </c>
      <c r="M197">
        <v>4101</v>
      </c>
      <c r="N197">
        <v>-1169</v>
      </c>
      <c r="O197">
        <v>6016</v>
      </c>
      <c r="P197">
        <v>4.0257096289999996</v>
      </c>
      <c r="Q197">
        <v>-112.0340271</v>
      </c>
      <c r="R197">
        <v>399978.8125</v>
      </c>
    </row>
    <row r="198" spans="1:18" x14ac:dyDescent="0.25">
      <c r="A198">
        <v>2161</v>
      </c>
      <c r="B198">
        <v>49540</v>
      </c>
      <c r="C198">
        <v>83</v>
      </c>
      <c r="D198">
        <v>114</v>
      </c>
      <c r="E198">
        <v>10485</v>
      </c>
      <c r="F198">
        <v>0</v>
      </c>
      <c r="G198">
        <v>341</v>
      </c>
      <c r="H198">
        <v>150303</v>
      </c>
      <c r="I198">
        <v>0.42199999999999999</v>
      </c>
      <c r="J198">
        <v>-2521000</v>
      </c>
      <c r="K198">
        <v>-6272000</v>
      </c>
      <c r="L198">
        <v>495200</v>
      </c>
      <c r="M198">
        <v>4101</v>
      </c>
      <c r="N198">
        <v>-1169</v>
      </c>
      <c r="O198">
        <v>6016</v>
      </c>
      <c r="P198">
        <v>4.0257096289999996</v>
      </c>
      <c r="Q198">
        <v>-112.0340271</v>
      </c>
      <c r="R198">
        <v>399978.8125</v>
      </c>
    </row>
    <row r="199" spans="1:18" x14ac:dyDescent="0.25">
      <c r="A199">
        <v>2161</v>
      </c>
      <c r="B199">
        <v>49541</v>
      </c>
      <c r="C199">
        <v>83</v>
      </c>
      <c r="D199">
        <v>114</v>
      </c>
      <c r="E199">
        <v>26869</v>
      </c>
      <c r="F199">
        <v>0</v>
      </c>
      <c r="G199">
        <v>341</v>
      </c>
      <c r="H199">
        <v>150303</v>
      </c>
      <c r="I199">
        <v>0.42199999999999999</v>
      </c>
      <c r="J199">
        <v>-2521000</v>
      </c>
      <c r="K199">
        <v>-6272000</v>
      </c>
      <c r="L199">
        <v>495200</v>
      </c>
      <c r="M199">
        <v>4101</v>
      </c>
      <c r="N199">
        <v>-1169</v>
      </c>
      <c r="O199">
        <v>6016</v>
      </c>
      <c r="P199">
        <v>4.0257096289999996</v>
      </c>
      <c r="Q199">
        <v>-112.0340271</v>
      </c>
      <c r="R199">
        <v>399978.8125</v>
      </c>
    </row>
    <row r="200" spans="1:18" x14ac:dyDescent="0.25">
      <c r="A200">
        <v>2161</v>
      </c>
      <c r="B200">
        <v>49542</v>
      </c>
      <c r="C200">
        <v>83</v>
      </c>
      <c r="D200">
        <v>114</v>
      </c>
      <c r="E200">
        <v>43253</v>
      </c>
      <c r="F200">
        <v>0</v>
      </c>
      <c r="G200">
        <v>341</v>
      </c>
      <c r="H200">
        <v>150303</v>
      </c>
      <c r="I200">
        <v>0.42199999999999999</v>
      </c>
      <c r="J200">
        <v>-2521000</v>
      </c>
      <c r="K200">
        <v>-6272000</v>
      </c>
      <c r="L200">
        <v>495200</v>
      </c>
      <c r="M200">
        <v>4101</v>
      </c>
      <c r="N200">
        <v>-1169</v>
      </c>
      <c r="O200">
        <v>6016</v>
      </c>
      <c r="P200">
        <v>4.0257096289999996</v>
      </c>
      <c r="Q200">
        <v>-112.0340271</v>
      </c>
      <c r="R200">
        <v>399978.8125</v>
      </c>
    </row>
    <row r="201" spans="1:18" x14ac:dyDescent="0.25">
      <c r="A201">
        <v>2161</v>
      </c>
      <c r="B201">
        <v>49543</v>
      </c>
      <c r="C201">
        <v>83</v>
      </c>
      <c r="D201">
        <v>114</v>
      </c>
      <c r="E201">
        <v>59637</v>
      </c>
      <c r="F201">
        <v>0</v>
      </c>
      <c r="G201">
        <v>341</v>
      </c>
      <c r="H201">
        <v>150303</v>
      </c>
      <c r="I201">
        <v>0.42199999999999999</v>
      </c>
      <c r="J201">
        <v>-2521000</v>
      </c>
      <c r="K201">
        <v>-6272000</v>
      </c>
      <c r="L201">
        <v>495200</v>
      </c>
      <c r="M201">
        <v>4101</v>
      </c>
      <c r="N201">
        <v>-1169</v>
      </c>
      <c r="O201">
        <v>6016</v>
      </c>
      <c r="P201">
        <v>4.0257096289999996</v>
      </c>
      <c r="Q201">
        <v>-112.0340271</v>
      </c>
      <c r="R201">
        <v>399978.8125</v>
      </c>
    </row>
    <row r="202" spans="1:18" x14ac:dyDescent="0.25">
      <c r="A202">
        <v>2161</v>
      </c>
      <c r="B202">
        <v>49544</v>
      </c>
      <c r="C202">
        <v>83</v>
      </c>
      <c r="D202">
        <v>115</v>
      </c>
      <c r="E202">
        <v>10485</v>
      </c>
      <c r="F202">
        <v>0</v>
      </c>
      <c r="G202">
        <v>341</v>
      </c>
      <c r="H202">
        <v>150303</v>
      </c>
      <c r="I202">
        <v>0.42199999999999999</v>
      </c>
      <c r="J202">
        <v>-2521000</v>
      </c>
      <c r="K202">
        <v>-6272000</v>
      </c>
      <c r="L202">
        <v>495200</v>
      </c>
      <c r="M202">
        <v>4101</v>
      </c>
      <c r="N202">
        <v>-1169</v>
      </c>
      <c r="O202">
        <v>6016</v>
      </c>
      <c r="P202">
        <v>4.0257096289999996</v>
      </c>
      <c r="Q202">
        <v>-112.0340271</v>
      </c>
      <c r="R202">
        <v>399978.8125</v>
      </c>
    </row>
    <row r="203" spans="1:18" x14ac:dyDescent="0.25">
      <c r="A203">
        <v>2161</v>
      </c>
      <c r="B203">
        <v>49545</v>
      </c>
      <c r="C203">
        <v>83</v>
      </c>
      <c r="D203">
        <v>115</v>
      </c>
      <c r="E203">
        <v>26869</v>
      </c>
      <c r="F203">
        <v>0</v>
      </c>
      <c r="G203">
        <v>341</v>
      </c>
      <c r="H203">
        <v>150303</v>
      </c>
      <c r="I203">
        <v>0.42199999999999999</v>
      </c>
      <c r="J203">
        <v>-2521000</v>
      </c>
      <c r="K203">
        <v>-6272000</v>
      </c>
      <c r="L203">
        <v>495200</v>
      </c>
      <c r="M203">
        <v>4101</v>
      </c>
      <c r="N203">
        <v>-1169</v>
      </c>
      <c r="O203">
        <v>6016</v>
      </c>
      <c r="P203">
        <v>4.0257096289999996</v>
      </c>
      <c r="Q203">
        <v>-112.0340271</v>
      </c>
      <c r="R203">
        <v>399978.8125</v>
      </c>
    </row>
    <row r="204" spans="1:18" x14ac:dyDescent="0.25">
      <c r="A204">
        <v>2161</v>
      </c>
      <c r="B204">
        <v>49546</v>
      </c>
      <c r="C204">
        <v>83</v>
      </c>
      <c r="D204">
        <v>115</v>
      </c>
      <c r="E204">
        <v>43253</v>
      </c>
      <c r="F204">
        <v>0</v>
      </c>
      <c r="G204">
        <v>341</v>
      </c>
      <c r="H204">
        <v>150303</v>
      </c>
      <c r="I204">
        <v>0.42199999999999999</v>
      </c>
      <c r="J204">
        <v>-2521000</v>
      </c>
      <c r="K204">
        <v>-6272000</v>
      </c>
      <c r="L204">
        <v>495200</v>
      </c>
      <c r="M204">
        <v>4101</v>
      </c>
      <c r="N204">
        <v>-1169</v>
      </c>
      <c r="O204">
        <v>6016</v>
      </c>
      <c r="P204">
        <v>4.0257096289999996</v>
      </c>
      <c r="Q204">
        <v>-112.0340271</v>
      </c>
      <c r="R204">
        <v>399978.8125</v>
      </c>
    </row>
    <row r="205" spans="1:18" x14ac:dyDescent="0.25">
      <c r="A205">
        <v>2161</v>
      </c>
      <c r="B205">
        <v>49547</v>
      </c>
      <c r="C205">
        <v>83</v>
      </c>
      <c r="D205">
        <v>115</v>
      </c>
      <c r="E205">
        <v>59637</v>
      </c>
      <c r="F205">
        <v>0</v>
      </c>
      <c r="G205">
        <v>341</v>
      </c>
      <c r="H205">
        <v>150303</v>
      </c>
      <c r="I205">
        <v>0.42199999999999999</v>
      </c>
      <c r="J205">
        <v>-2521000</v>
      </c>
      <c r="K205">
        <v>-6272000</v>
      </c>
      <c r="L205">
        <v>495200</v>
      </c>
      <c r="M205">
        <v>4101</v>
      </c>
      <c r="N205">
        <v>-1169</v>
      </c>
      <c r="O205">
        <v>6016</v>
      </c>
      <c r="P205">
        <v>4.0257096289999996</v>
      </c>
      <c r="Q205">
        <v>-112.0340271</v>
      </c>
      <c r="R205">
        <v>399978.8125</v>
      </c>
    </row>
    <row r="206" spans="1:18" x14ac:dyDescent="0.25">
      <c r="A206">
        <v>2161</v>
      </c>
      <c r="B206">
        <v>49548</v>
      </c>
      <c r="C206">
        <v>83</v>
      </c>
      <c r="D206">
        <v>116</v>
      </c>
      <c r="E206">
        <v>10485</v>
      </c>
      <c r="F206">
        <v>0</v>
      </c>
      <c r="G206">
        <v>341</v>
      </c>
      <c r="H206">
        <v>150303</v>
      </c>
      <c r="I206">
        <v>0.42199999999999999</v>
      </c>
      <c r="J206">
        <v>-2521000</v>
      </c>
      <c r="K206">
        <v>-6272000</v>
      </c>
      <c r="L206">
        <v>495200</v>
      </c>
      <c r="M206">
        <v>4101</v>
      </c>
      <c r="N206">
        <v>-1169</v>
      </c>
      <c r="O206">
        <v>6016</v>
      </c>
      <c r="P206">
        <v>4.0257096289999996</v>
      </c>
      <c r="Q206">
        <v>-112.0340271</v>
      </c>
      <c r="R206">
        <v>399978.8125</v>
      </c>
    </row>
    <row r="207" spans="1:18" x14ac:dyDescent="0.25">
      <c r="A207">
        <v>2161</v>
      </c>
      <c r="B207">
        <v>49549</v>
      </c>
      <c r="C207">
        <v>83</v>
      </c>
      <c r="D207">
        <v>116</v>
      </c>
      <c r="E207">
        <v>26869</v>
      </c>
      <c r="F207">
        <v>0</v>
      </c>
      <c r="G207">
        <v>341</v>
      </c>
      <c r="H207">
        <v>150303</v>
      </c>
      <c r="I207">
        <v>0.42199999999999999</v>
      </c>
      <c r="J207">
        <v>-2521000</v>
      </c>
      <c r="K207">
        <v>-6272000</v>
      </c>
      <c r="L207">
        <v>495200</v>
      </c>
      <c r="M207">
        <v>4101</v>
      </c>
      <c r="N207">
        <v>-1169</v>
      </c>
      <c r="O207">
        <v>6016</v>
      </c>
      <c r="P207">
        <v>4.0257096289999996</v>
      </c>
      <c r="Q207">
        <v>-112.0340271</v>
      </c>
      <c r="R207">
        <v>399978.8125</v>
      </c>
    </row>
    <row r="208" spans="1:18" x14ac:dyDescent="0.25">
      <c r="A208">
        <v>2161</v>
      </c>
      <c r="B208">
        <v>49550</v>
      </c>
      <c r="C208">
        <v>83</v>
      </c>
      <c r="D208">
        <v>116</v>
      </c>
      <c r="E208">
        <v>43253</v>
      </c>
      <c r="F208">
        <v>0</v>
      </c>
      <c r="G208">
        <v>341</v>
      </c>
      <c r="H208">
        <v>150303</v>
      </c>
      <c r="I208">
        <v>0.42199999999999999</v>
      </c>
      <c r="J208">
        <v>-2521000</v>
      </c>
      <c r="K208">
        <v>-6272000</v>
      </c>
      <c r="L208">
        <v>495200</v>
      </c>
      <c r="M208">
        <v>4101</v>
      </c>
      <c r="N208">
        <v>-1169</v>
      </c>
      <c r="O208">
        <v>6016</v>
      </c>
      <c r="P208">
        <v>4.0257096289999996</v>
      </c>
      <c r="Q208">
        <v>-112.0340271</v>
      </c>
      <c r="R208">
        <v>399978.8125</v>
      </c>
    </row>
    <row r="209" spans="1:18" x14ac:dyDescent="0.25">
      <c r="A209">
        <v>2161</v>
      </c>
      <c r="B209">
        <v>49551</v>
      </c>
      <c r="C209">
        <v>83</v>
      </c>
      <c r="D209">
        <v>116</v>
      </c>
      <c r="E209">
        <v>59637</v>
      </c>
      <c r="F209">
        <v>0</v>
      </c>
      <c r="G209">
        <v>341</v>
      </c>
      <c r="H209">
        <v>150303</v>
      </c>
      <c r="I209">
        <v>0.42199999999999999</v>
      </c>
      <c r="J209">
        <v>-2521000</v>
      </c>
      <c r="K209">
        <v>-6272000</v>
      </c>
      <c r="L209">
        <v>495200</v>
      </c>
      <c r="M209">
        <v>4101</v>
      </c>
      <c r="N209">
        <v>-1169</v>
      </c>
      <c r="O209">
        <v>6016</v>
      </c>
      <c r="P209">
        <v>4.0257096289999996</v>
      </c>
      <c r="Q209">
        <v>-112.0340271</v>
      </c>
      <c r="R209">
        <v>399978.8125</v>
      </c>
    </row>
    <row r="210" spans="1:18" x14ac:dyDescent="0.25">
      <c r="A210">
        <v>2161</v>
      </c>
      <c r="B210">
        <v>49552</v>
      </c>
      <c r="C210">
        <v>83</v>
      </c>
      <c r="D210">
        <v>117</v>
      </c>
      <c r="E210">
        <v>10485</v>
      </c>
      <c r="F210">
        <v>0</v>
      </c>
      <c r="G210">
        <v>341</v>
      </c>
      <c r="H210">
        <v>150335</v>
      </c>
      <c r="I210">
        <v>0.67200000000000004</v>
      </c>
      <c r="J210">
        <v>-2389000</v>
      </c>
      <c r="K210">
        <v>-6306000</v>
      </c>
      <c r="L210">
        <v>687300</v>
      </c>
      <c r="M210">
        <v>4197</v>
      </c>
      <c r="N210">
        <v>-930</v>
      </c>
      <c r="O210">
        <v>5992</v>
      </c>
      <c r="P210">
        <v>4.0257096289999996</v>
      </c>
      <c r="Q210">
        <v>-112.0340271</v>
      </c>
      <c r="R210">
        <v>399978.8125</v>
      </c>
    </row>
    <row r="211" spans="1:18" x14ac:dyDescent="0.25">
      <c r="A211">
        <v>2161</v>
      </c>
      <c r="B211">
        <v>49553</v>
      </c>
      <c r="C211">
        <v>83</v>
      </c>
      <c r="D211">
        <v>117</v>
      </c>
      <c r="E211">
        <v>26869</v>
      </c>
      <c r="F211">
        <v>0</v>
      </c>
      <c r="G211">
        <v>341</v>
      </c>
      <c r="H211">
        <v>150335</v>
      </c>
      <c r="I211">
        <v>0.92200000000000004</v>
      </c>
      <c r="J211">
        <v>-2388000</v>
      </c>
      <c r="K211">
        <v>-6306000</v>
      </c>
      <c r="L211">
        <v>688800</v>
      </c>
      <c r="M211">
        <v>4198</v>
      </c>
      <c r="N211">
        <v>-928</v>
      </c>
      <c r="O211">
        <v>5992</v>
      </c>
      <c r="P211">
        <v>4.0257096289999996</v>
      </c>
      <c r="Q211">
        <v>-112.0340271</v>
      </c>
      <c r="R211">
        <v>399978.8125</v>
      </c>
    </row>
    <row r="212" spans="1:18" x14ac:dyDescent="0.25">
      <c r="A212">
        <v>2161</v>
      </c>
      <c r="B212">
        <v>49554</v>
      </c>
      <c r="C212">
        <v>83</v>
      </c>
      <c r="D212">
        <v>117</v>
      </c>
      <c r="E212">
        <v>43253</v>
      </c>
      <c r="F212">
        <v>0</v>
      </c>
      <c r="G212">
        <v>341</v>
      </c>
      <c r="H212">
        <v>150336</v>
      </c>
      <c r="I212">
        <v>0.17199999999999999</v>
      </c>
      <c r="J212">
        <v>-2387000</v>
      </c>
      <c r="K212">
        <v>-6306000</v>
      </c>
      <c r="L212">
        <v>690300</v>
      </c>
      <c r="M212">
        <v>4199</v>
      </c>
      <c r="N212">
        <v>-926</v>
      </c>
      <c r="O212">
        <v>5992</v>
      </c>
      <c r="P212">
        <v>4.0257096289999996</v>
      </c>
      <c r="Q212">
        <v>-112.0340271</v>
      </c>
      <c r="R212">
        <v>399978.8125</v>
      </c>
    </row>
    <row r="213" spans="1:18" x14ac:dyDescent="0.25">
      <c r="A213">
        <v>2161</v>
      </c>
      <c r="B213">
        <v>49555</v>
      </c>
      <c r="C213">
        <v>83</v>
      </c>
      <c r="D213">
        <v>117</v>
      </c>
      <c r="E213">
        <v>59637</v>
      </c>
      <c r="F213">
        <v>0</v>
      </c>
      <c r="G213">
        <v>341</v>
      </c>
      <c r="H213">
        <v>150336</v>
      </c>
      <c r="I213">
        <v>0.42199999999999999</v>
      </c>
      <c r="J213">
        <v>-2386000</v>
      </c>
      <c r="K213">
        <v>-6306000</v>
      </c>
      <c r="L213">
        <v>691800</v>
      </c>
      <c r="M213">
        <v>4200</v>
      </c>
      <c r="N213">
        <v>-924</v>
      </c>
      <c r="O213">
        <v>5991</v>
      </c>
      <c r="P213">
        <v>4.0257096289999996</v>
      </c>
      <c r="Q213">
        <v>-112.0340271</v>
      </c>
      <c r="R213">
        <v>399978.8125</v>
      </c>
    </row>
    <row r="214" spans="1:18" x14ac:dyDescent="0.25">
      <c r="A214">
        <v>2161</v>
      </c>
      <c r="B214">
        <v>49556</v>
      </c>
      <c r="C214">
        <v>83</v>
      </c>
      <c r="D214">
        <v>118</v>
      </c>
      <c r="E214">
        <v>10485</v>
      </c>
      <c r="F214">
        <v>0</v>
      </c>
      <c r="G214">
        <v>341</v>
      </c>
      <c r="H214">
        <v>150336</v>
      </c>
      <c r="I214">
        <v>0.67200000000000004</v>
      </c>
      <c r="J214">
        <v>-2385000</v>
      </c>
      <c r="K214">
        <v>-6306000</v>
      </c>
      <c r="L214">
        <v>693300</v>
      </c>
      <c r="M214">
        <v>4200</v>
      </c>
      <c r="N214">
        <v>-922</v>
      </c>
      <c r="O214">
        <v>5991</v>
      </c>
      <c r="P214">
        <v>4.0257096289999996</v>
      </c>
      <c r="Q214">
        <v>-112.0340271</v>
      </c>
      <c r="R214">
        <v>399978.8125</v>
      </c>
    </row>
    <row r="215" spans="1:18" x14ac:dyDescent="0.25">
      <c r="A215">
        <v>2161</v>
      </c>
      <c r="B215">
        <v>49557</v>
      </c>
      <c r="C215">
        <v>83</v>
      </c>
      <c r="D215">
        <v>118</v>
      </c>
      <c r="E215">
        <v>26869</v>
      </c>
      <c r="F215">
        <v>0</v>
      </c>
      <c r="G215">
        <v>341</v>
      </c>
      <c r="H215">
        <v>150336</v>
      </c>
      <c r="I215">
        <v>0.92200000000000004</v>
      </c>
      <c r="J215">
        <v>-2384000</v>
      </c>
      <c r="K215">
        <v>-6307000</v>
      </c>
      <c r="L215">
        <v>694800</v>
      </c>
      <c r="M215">
        <v>4201</v>
      </c>
      <c r="N215">
        <v>-920</v>
      </c>
      <c r="O215">
        <v>5991</v>
      </c>
      <c r="P215">
        <v>4.0257096289999996</v>
      </c>
      <c r="Q215">
        <v>-112.0340271</v>
      </c>
      <c r="R215">
        <v>399978.8125</v>
      </c>
    </row>
    <row r="216" spans="1:18" x14ac:dyDescent="0.25">
      <c r="A216">
        <v>2161</v>
      </c>
      <c r="B216">
        <v>49558</v>
      </c>
      <c r="C216">
        <v>83</v>
      </c>
      <c r="D216">
        <v>118</v>
      </c>
      <c r="E216">
        <v>43253</v>
      </c>
      <c r="F216">
        <v>0</v>
      </c>
      <c r="G216">
        <v>341</v>
      </c>
      <c r="H216">
        <v>150337</v>
      </c>
      <c r="I216">
        <v>0.17199999999999999</v>
      </c>
      <c r="J216">
        <v>-2383000</v>
      </c>
      <c r="K216">
        <v>-6307000</v>
      </c>
      <c r="L216">
        <v>696200</v>
      </c>
      <c r="M216">
        <v>4202</v>
      </c>
      <c r="N216">
        <v>-918</v>
      </c>
      <c r="O216">
        <v>5991</v>
      </c>
      <c r="P216">
        <v>4.0257096289999996</v>
      </c>
      <c r="Q216">
        <v>-112.0340271</v>
      </c>
      <c r="R216">
        <v>399978.8125</v>
      </c>
    </row>
    <row r="217" spans="1:18" x14ac:dyDescent="0.25">
      <c r="A217">
        <v>2161</v>
      </c>
      <c r="B217">
        <v>49559</v>
      </c>
      <c r="C217">
        <v>83</v>
      </c>
      <c r="D217">
        <v>118</v>
      </c>
      <c r="E217">
        <v>60293</v>
      </c>
      <c r="F217">
        <v>0</v>
      </c>
      <c r="G217">
        <v>341</v>
      </c>
      <c r="H217">
        <v>150337</v>
      </c>
      <c r="I217">
        <v>0.42199999999999999</v>
      </c>
      <c r="J217">
        <v>-2382000</v>
      </c>
      <c r="K217">
        <v>-6307000</v>
      </c>
      <c r="L217">
        <v>697700</v>
      </c>
      <c r="M217">
        <v>4202</v>
      </c>
      <c r="N217">
        <v>-917</v>
      </c>
      <c r="O217">
        <v>5991</v>
      </c>
      <c r="P217">
        <v>4.0257096289999996</v>
      </c>
      <c r="Q217">
        <v>-112.0340271</v>
      </c>
      <c r="R217">
        <v>399978.8125</v>
      </c>
    </row>
    <row r="218" spans="1:18" x14ac:dyDescent="0.25">
      <c r="A218">
        <v>2161</v>
      </c>
      <c r="B218">
        <v>49560</v>
      </c>
      <c r="C218">
        <v>83</v>
      </c>
      <c r="D218">
        <v>119</v>
      </c>
      <c r="E218">
        <v>11141</v>
      </c>
      <c r="F218">
        <v>0</v>
      </c>
      <c r="G218">
        <v>341</v>
      </c>
      <c r="H218">
        <v>150337</v>
      </c>
      <c r="I218">
        <v>0.67200000000000004</v>
      </c>
      <c r="J218">
        <v>-2380000</v>
      </c>
      <c r="K218">
        <v>-6307000</v>
      </c>
      <c r="L218">
        <v>699200</v>
      </c>
      <c r="M218">
        <v>4203</v>
      </c>
      <c r="N218">
        <v>-915</v>
      </c>
      <c r="O218">
        <v>5990</v>
      </c>
      <c r="P218">
        <v>4.0257096289999996</v>
      </c>
      <c r="Q218">
        <v>-112.0340271</v>
      </c>
      <c r="R218">
        <v>399978.8125</v>
      </c>
    </row>
    <row r="219" spans="1:18" x14ac:dyDescent="0.25">
      <c r="A219">
        <v>2161</v>
      </c>
      <c r="B219">
        <v>49561</v>
      </c>
      <c r="C219">
        <v>83</v>
      </c>
      <c r="D219">
        <v>119</v>
      </c>
      <c r="E219">
        <v>27525</v>
      </c>
      <c r="F219">
        <v>0</v>
      </c>
      <c r="G219">
        <v>341</v>
      </c>
      <c r="H219">
        <v>150337</v>
      </c>
      <c r="I219">
        <v>0.67200000000000004</v>
      </c>
      <c r="J219">
        <v>-2380000</v>
      </c>
      <c r="K219">
        <v>-6307000</v>
      </c>
      <c r="L219">
        <v>699200</v>
      </c>
      <c r="M219">
        <v>4203</v>
      </c>
      <c r="N219">
        <v>-915</v>
      </c>
      <c r="O219">
        <v>5990</v>
      </c>
      <c r="P219">
        <v>5.9713854790000003</v>
      </c>
      <c r="Q219">
        <v>-110.66794590000001</v>
      </c>
      <c r="R219">
        <v>399890.3125</v>
      </c>
    </row>
    <row r="220" spans="1:18" x14ac:dyDescent="0.25">
      <c r="A220">
        <v>2161</v>
      </c>
      <c r="B220">
        <v>49562</v>
      </c>
      <c r="C220">
        <v>83</v>
      </c>
      <c r="D220">
        <v>119</v>
      </c>
      <c r="E220">
        <v>43909</v>
      </c>
      <c r="F220">
        <v>0</v>
      </c>
      <c r="G220">
        <v>341</v>
      </c>
      <c r="H220">
        <v>150337</v>
      </c>
      <c r="I220">
        <v>0.67200000000000004</v>
      </c>
      <c r="J220">
        <v>-2380000</v>
      </c>
      <c r="K220">
        <v>-6307000</v>
      </c>
      <c r="L220">
        <v>699200</v>
      </c>
      <c r="M220">
        <v>4203</v>
      </c>
      <c r="N220">
        <v>-915</v>
      </c>
      <c r="O220">
        <v>5990</v>
      </c>
      <c r="P220">
        <v>5.983636379</v>
      </c>
      <c r="Q220">
        <v>-110.6592941</v>
      </c>
      <c r="R220">
        <v>399890.78129999997</v>
      </c>
    </row>
    <row r="221" spans="1:18" x14ac:dyDescent="0.25">
      <c r="A221">
        <v>2161</v>
      </c>
      <c r="B221">
        <v>49563</v>
      </c>
      <c r="C221">
        <v>83</v>
      </c>
      <c r="D221">
        <v>119</v>
      </c>
      <c r="E221">
        <v>60293</v>
      </c>
      <c r="F221">
        <v>0</v>
      </c>
      <c r="G221">
        <v>341</v>
      </c>
      <c r="H221">
        <v>150338</v>
      </c>
      <c r="I221">
        <v>0.42199999999999999</v>
      </c>
      <c r="J221">
        <v>-2377000</v>
      </c>
      <c r="K221">
        <v>-6308000</v>
      </c>
      <c r="L221">
        <v>703600</v>
      </c>
      <c r="M221">
        <v>4205</v>
      </c>
      <c r="N221">
        <v>-909</v>
      </c>
      <c r="O221">
        <v>5990</v>
      </c>
      <c r="P221">
        <v>5.983636379</v>
      </c>
      <c r="Q221">
        <v>-110.6592941</v>
      </c>
      <c r="R221">
        <v>399890.78129999997</v>
      </c>
    </row>
    <row r="222" spans="1:18" x14ac:dyDescent="0.25">
      <c r="A222">
        <v>2161</v>
      </c>
      <c r="B222">
        <v>49564</v>
      </c>
      <c r="C222">
        <v>83</v>
      </c>
      <c r="D222">
        <v>120</v>
      </c>
      <c r="E222">
        <v>11141</v>
      </c>
      <c r="F222">
        <v>0</v>
      </c>
      <c r="G222">
        <v>341</v>
      </c>
      <c r="H222">
        <v>150338</v>
      </c>
      <c r="I222">
        <v>0.42199999999999999</v>
      </c>
      <c r="J222">
        <v>-2377000</v>
      </c>
      <c r="K222">
        <v>-6308000</v>
      </c>
      <c r="L222">
        <v>703600</v>
      </c>
      <c r="M222">
        <v>4205</v>
      </c>
      <c r="N222">
        <v>-909</v>
      </c>
      <c r="O222">
        <v>5990</v>
      </c>
      <c r="P222">
        <v>6.0092201230000004</v>
      </c>
      <c r="Q222">
        <v>-110.64121249999999</v>
      </c>
      <c r="R222">
        <v>399881.875</v>
      </c>
    </row>
    <row r="223" spans="1:18" x14ac:dyDescent="0.25">
      <c r="A223">
        <v>2161</v>
      </c>
      <c r="B223">
        <v>49565</v>
      </c>
      <c r="C223">
        <v>83</v>
      </c>
      <c r="D223">
        <v>120</v>
      </c>
      <c r="E223">
        <v>27525</v>
      </c>
      <c r="F223">
        <v>0</v>
      </c>
      <c r="G223">
        <v>341</v>
      </c>
      <c r="H223">
        <v>150338</v>
      </c>
      <c r="I223">
        <v>0.92200000000000004</v>
      </c>
      <c r="J223">
        <v>-2375000</v>
      </c>
      <c r="K223">
        <v>-6309000</v>
      </c>
      <c r="L223">
        <v>706600</v>
      </c>
      <c r="M223">
        <v>4207</v>
      </c>
      <c r="N223">
        <v>-906</v>
      </c>
      <c r="O223">
        <v>5989</v>
      </c>
      <c r="P223">
        <v>6.0092201230000004</v>
      </c>
      <c r="Q223">
        <v>-110.64121249999999</v>
      </c>
      <c r="R223">
        <v>399881.875</v>
      </c>
    </row>
    <row r="224" spans="1:18" x14ac:dyDescent="0.25">
      <c r="A224">
        <v>2161</v>
      </c>
      <c r="B224">
        <v>49566</v>
      </c>
      <c r="C224">
        <v>83</v>
      </c>
      <c r="D224">
        <v>120</v>
      </c>
      <c r="E224">
        <v>43909</v>
      </c>
      <c r="F224">
        <v>0</v>
      </c>
      <c r="G224">
        <v>341</v>
      </c>
      <c r="H224">
        <v>150339</v>
      </c>
      <c r="I224">
        <v>0.17199999999999999</v>
      </c>
      <c r="J224">
        <v>-2374000</v>
      </c>
      <c r="K224">
        <v>-6309000</v>
      </c>
      <c r="L224">
        <v>708100</v>
      </c>
      <c r="M224">
        <v>4207</v>
      </c>
      <c r="N224">
        <v>-904</v>
      </c>
      <c r="O224">
        <v>5989</v>
      </c>
      <c r="P224">
        <v>6.0092201230000004</v>
      </c>
      <c r="Q224">
        <v>-110.64121249999999</v>
      </c>
      <c r="R224">
        <v>399881.875</v>
      </c>
    </row>
    <row r="225" spans="1:18" x14ac:dyDescent="0.25">
      <c r="A225">
        <v>2161</v>
      </c>
      <c r="B225">
        <v>49567</v>
      </c>
      <c r="C225">
        <v>83</v>
      </c>
      <c r="D225">
        <v>120</v>
      </c>
      <c r="E225">
        <v>60293</v>
      </c>
      <c r="F225">
        <v>0</v>
      </c>
      <c r="G225">
        <v>341</v>
      </c>
      <c r="H225">
        <v>150339</v>
      </c>
      <c r="I225">
        <v>0.42199999999999999</v>
      </c>
      <c r="J225">
        <v>-2373000</v>
      </c>
      <c r="K225">
        <v>-6309000</v>
      </c>
      <c r="L225">
        <v>709600</v>
      </c>
      <c r="M225">
        <v>4208</v>
      </c>
      <c r="N225">
        <v>-902</v>
      </c>
      <c r="O225">
        <v>5989</v>
      </c>
      <c r="P225">
        <v>6.0092201230000004</v>
      </c>
      <c r="Q225">
        <v>-110.64121249999999</v>
      </c>
      <c r="R225">
        <v>399881.875</v>
      </c>
    </row>
    <row r="226" spans="1:18" x14ac:dyDescent="0.25">
      <c r="A226">
        <v>2161</v>
      </c>
      <c r="B226">
        <v>49568</v>
      </c>
      <c r="C226">
        <v>83</v>
      </c>
      <c r="D226">
        <v>121</v>
      </c>
      <c r="E226">
        <v>11141</v>
      </c>
      <c r="F226">
        <v>0</v>
      </c>
      <c r="G226">
        <v>341</v>
      </c>
      <c r="H226">
        <v>150339</v>
      </c>
      <c r="I226">
        <v>0.67200000000000004</v>
      </c>
      <c r="J226">
        <v>-2372000</v>
      </c>
      <c r="K226">
        <v>-6309000</v>
      </c>
      <c r="L226">
        <v>711100</v>
      </c>
      <c r="M226">
        <v>4209</v>
      </c>
      <c r="N226">
        <v>-900</v>
      </c>
      <c r="O226">
        <v>5989</v>
      </c>
      <c r="P226">
        <v>6.0092201230000004</v>
      </c>
      <c r="Q226">
        <v>-110.64121249999999</v>
      </c>
      <c r="R226">
        <v>399881.875</v>
      </c>
    </row>
    <row r="227" spans="1:18" x14ac:dyDescent="0.25">
      <c r="A227">
        <v>2161</v>
      </c>
      <c r="B227">
        <v>49569</v>
      </c>
      <c r="C227">
        <v>83</v>
      </c>
      <c r="D227">
        <v>121</v>
      </c>
      <c r="E227">
        <v>27525</v>
      </c>
      <c r="F227">
        <v>0</v>
      </c>
      <c r="G227">
        <v>341</v>
      </c>
      <c r="H227">
        <v>150339</v>
      </c>
      <c r="I227">
        <v>0.92200000000000004</v>
      </c>
      <c r="J227">
        <v>-2371000</v>
      </c>
      <c r="K227">
        <v>-6309000</v>
      </c>
      <c r="L227">
        <v>712600</v>
      </c>
      <c r="M227">
        <v>4210</v>
      </c>
      <c r="N227">
        <v>-898</v>
      </c>
      <c r="O227">
        <v>5988</v>
      </c>
      <c r="P227">
        <v>6.0092201230000004</v>
      </c>
      <c r="Q227">
        <v>-110.64121249999999</v>
      </c>
      <c r="R227">
        <v>399881.875</v>
      </c>
    </row>
    <row r="228" spans="1:18" x14ac:dyDescent="0.25">
      <c r="A228">
        <v>2161</v>
      </c>
      <c r="B228">
        <v>49570</v>
      </c>
      <c r="C228">
        <v>83</v>
      </c>
      <c r="D228">
        <v>121</v>
      </c>
      <c r="E228">
        <v>43909</v>
      </c>
      <c r="F228">
        <v>0</v>
      </c>
      <c r="G228">
        <v>341</v>
      </c>
      <c r="H228">
        <v>150340</v>
      </c>
      <c r="I228">
        <v>0.17199999999999999</v>
      </c>
      <c r="J228">
        <v>-2370000</v>
      </c>
      <c r="K228">
        <v>-6310000</v>
      </c>
      <c r="L228">
        <v>714000</v>
      </c>
      <c r="M228">
        <v>4210</v>
      </c>
      <c r="N228">
        <v>-896</v>
      </c>
      <c r="O228">
        <v>5988</v>
      </c>
      <c r="P228">
        <v>6.0092201230000004</v>
      </c>
      <c r="Q228">
        <v>-110.64121249999999</v>
      </c>
      <c r="R228">
        <v>399881.875</v>
      </c>
    </row>
    <row r="229" spans="1:18" x14ac:dyDescent="0.25">
      <c r="A229">
        <v>2161</v>
      </c>
      <c r="B229">
        <v>49571</v>
      </c>
      <c r="C229">
        <v>83</v>
      </c>
      <c r="D229">
        <v>121</v>
      </c>
      <c r="E229">
        <v>60293</v>
      </c>
      <c r="F229">
        <v>0</v>
      </c>
      <c r="G229">
        <v>341</v>
      </c>
      <c r="H229">
        <v>150340</v>
      </c>
      <c r="I229">
        <v>0.42199999999999999</v>
      </c>
      <c r="J229">
        <v>-2369000</v>
      </c>
      <c r="K229">
        <v>-6310000</v>
      </c>
      <c r="L229">
        <v>715500</v>
      </c>
      <c r="M229">
        <v>4211</v>
      </c>
      <c r="N229">
        <v>-894</v>
      </c>
      <c r="O229">
        <v>5988</v>
      </c>
      <c r="P229">
        <v>6.0092201230000004</v>
      </c>
      <c r="Q229">
        <v>-110.64121249999999</v>
      </c>
      <c r="R229">
        <v>399881.875</v>
      </c>
    </row>
    <row r="230" spans="1:18" x14ac:dyDescent="0.25">
      <c r="A230">
        <v>2161</v>
      </c>
      <c r="B230">
        <v>49572</v>
      </c>
      <c r="C230">
        <v>83</v>
      </c>
      <c r="D230">
        <v>122</v>
      </c>
      <c r="E230">
        <v>11141</v>
      </c>
      <c r="F230">
        <v>0</v>
      </c>
      <c r="G230">
        <v>341</v>
      </c>
      <c r="H230">
        <v>150340</v>
      </c>
      <c r="I230">
        <v>0.67200000000000004</v>
      </c>
      <c r="J230">
        <v>-2368000</v>
      </c>
      <c r="K230">
        <v>-6310000</v>
      </c>
      <c r="L230">
        <v>717000</v>
      </c>
      <c r="M230">
        <v>4212</v>
      </c>
      <c r="N230">
        <v>-892</v>
      </c>
      <c r="O230">
        <v>5988</v>
      </c>
      <c r="P230">
        <v>6.0092201230000004</v>
      </c>
      <c r="Q230">
        <v>-110.64121249999999</v>
      </c>
      <c r="R230">
        <v>399881.875</v>
      </c>
    </row>
    <row r="231" spans="1:18" x14ac:dyDescent="0.25">
      <c r="A231">
        <v>2161</v>
      </c>
      <c r="B231">
        <v>49573</v>
      </c>
      <c r="C231">
        <v>83</v>
      </c>
      <c r="D231">
        <v>122</v>
      </c>
      <c r="E231">
        <v>27525</v>
      </c>
      <c r="F231">
        <v>0</v>
      </c>
      <c r="G231">
        <v>341</v>
      </c>
      <c r="H231">
        <v>150340</v>
      </c>
      <c r="I231">
        <v>0.92200000000000004</v>
      </c>
      <c r="J231">
        <v>-2367000</v>
      </c>
      <c r="K231">
        <v>-6310000</v>
      </c>
      <c r="L231">
        <v>718500</v>
      </c>
      <c r="M231">
        <v>4213</v>
      </c>
      <c r="N231">
        <v>-891</v>
      </c>
      <c r="O231">
        <v>5987</v>
      </c>
      <c r="P231">
        <v>6.0092201230000004</v>
      </c>
      <c r="Q231">
        <v>-110.64121249999999</v>
      </c>
      <c r="R231">
        <v>399881.875</v>
      </c>
    </row>
    <row r="232" spans="1:18" x14ac:dyDescent="0.25">
      <c r="A232">
        <v>2161</v>
      </c>
      <c r="B232">
        <v>49574</v>
      </c>
      <c r="C232">
        <v>83</v>
      </c>
      <c r="D232">
        <v>122</v>
      </c>
      <c r="E232">
        <v>43909</v>
      </c>
      <c r="F232">
        <v>0</v>
      </c>
      <c r="G232">
        <v>341</v>
      </c>
      <c r="H232">
        <v>150341</v>
      </c>
      <c r="I232">
        <v>0.17199999999999999</v>
      </c>
      <c r="J232">
        <v>-2366000</v>
      </c>
      <c r="K232">
        <v>-6311000</v>
      </c>
      <c r="L232">
        <v>720000</v>
      </c>
      <c r="M232">
        <v>4213</v>
      </c>
      <c r="N232">
        <v>-889</v>
      </c>
      <c r="O232">
        <v>5987</v>
      </c>
      <c r="P232">
        <v>6.0092201230000004</v>
      </c>
      <c r="Q232">
        <v>-110.64121249999999</v>
      </c>
      <c r="R232">
        <v>399881.875</v>
      </c>
    </row>
    <row r="233" spans="1:18" x14ac:dyDescent="0.25">
      <c r="A233">
        <v>2161</v>
      </c>
      <c r="B233">
        <v>49575</v>
      </c>
      <c r="C233">
        <v>83</v>
      </c>
      <c r="D233">
        <v>122</v>
      </c>
      <c r="E233">
        <v>60293</v>
      </c>
      <c r="F233">
        <v>0</v>
      </c>
      <c r="G233">
        <v>341</v>
      </c>
      <c r="H233">
        <v>150341</v>
      </c>
      <c r="I233">
        <v>0.42199999999999999</v>
      </c>
      <c r="J233">
        <v>-2365000</v>
      </c>
      <c r="K233">
        <v>-6311000</v>
      </c>
      <c r="L233">
        <v>721500</v>
      </c>
      <c r="M233">
        <v>4214</v>
      </c>
      <c r="N233">
        <v>-887</v>
      </c>
      <c r="O233">
        <v>5987</v>
      </c>
      <c r="P233">
        <v>6.0092201230000004</v>
      </c>
      <c r="Q233">
        <v>-110.64121249999999</v>
      </c>
      <c r="R233">
        <v>399881.875</v>
      </c>
    </row>
    <row r="234" spans="1:18" x14ac:dyDescent="0.25">
      <c r="A234">
        <v>2161</v>
      </c>
      <c r="B234">
        <v>49576</v>
      </c>
      <c r="C234">
        <v>83</v>
      </c>
      <c r="D234">
        <v>123</v>
      </c>
      <c r="E234">
        <v>11141</v>
      </c>
      <c r="F234">
        <v>0</v>
      </c>
      <c r="G234">
        <v>341</v>
      </c>
      <c r="H234">
        <v>150341</v>
      </c>
      <c r="I234">
        <v>0.67200000000000004</v>
      </c>
      <c r="J234">
        <v>-2364000</v>
      </c>
      <c r="K234">
        <v>-6311000</v>
      </c>
      <c r="L234">
        <v>723000</v>
      </c>
      <c r="M234">
        <v>4215</v>
      </c>
      <c r="N234">
        <v>-885</v>
      </c>
      <c r="O234">
        <v>5987</v>
      </c>
      <c r="P234">
        <v>6.0092201230000004</v>
      </c>
      <c r="Q234">
        <v>-110.64121249999999</v>
      </c>
      <c r="R234">
        <v>399881.875</v>
      </c>
    </row>
    <row r="235" spans="1:18" x14ac:dyDescent="0.25">
      <c r="A235">
        <v>2161</v>
      </c>
      <c r="B235">
        <v>49577</v>
      </c>
      <c r="C235">
        <v>83</v>
      </c>
      <c r="D235">
        <v>123</v>
      </c>
      <c r="E235">
        <v>27525</v>
      </c>
      <c r="F235">
        <v>0</v>
      </c>
      <c r="G235">
        <v>341</v>
      </c>
      <c r="H235">
        <v>150341</v>
      </c>
      <c r="I235">
        <v>0.92200000000000004</v>
      </c>
      <c r="J235">
        <v>-2363000</v>
      </c>
      <c r="K235">
        <v>-6311000</v>
      </c>
      <c r="L235">
        <v>724500</v>
      </c>
      <c r="M235">
        <v>4215</v>
      </c>
      <c r="N235">
        <v>-883</v>
      </c>
      <c r="O235">
        <v>5986</v>
      </c>
      <c r="P235">
        <v>6.0092201230000004</v>
      </c>
      <c r="Q235">
        <v>-110.64121249999999</v>
      </c>
      <c r="R235">
        <v>399881.875</v>
      </c>
    </row>
    <row r="236" spans="1:18" x14ac:dyDescent="0.25">
      <c r="A236">
        <v>2161</v>
      </c>
      <c r="B236">
        <v>49578</v>
      </c>
      <c r="C236">
        <v>83</v>
      </c>
      <c r="D236">
        <v>123</v>
      </c>
      <c r="E236">
        <v>44564</v>
      </c>
      <c r="F236">
        <v>0</v>
      </c>
      <c r="G236">
        <v>341</v>
      </c>
      <c r="H236">
        <v>150342</v>
      </c>
      <c r="I236">
        <v>0.17199999999999999</v>
      </c>
      <c r="J236">
        <v>-2362000</v>
      </c>
      <c r="K236">
        <v>-6311000</v>
      </c>
      <c r="L236">
        <v>726000</v>
      </c>
      <c r="M236">
        <v>4216</v>
      </c>
      <c r="N236">
        <v>-881</v>
      </c>
      <c r="O236">
        <v>5986</v>
      </c>
      <c r="P236">
        <v>6.0092201230000004</v>
      </c>
      <c r="Q236">
        <v>-110.64121249999999</v>
      </c>
      <c r="R236">
        <v>399881.875</v>
      </c>
    </row>
    <row r="237" spans="1:18" x14ac:dyDescent="0.25">
      <c r="A237">
        <v>2161</v>
      </c>
      <c r="B237">
        <v>49579</v>
      </c>
      <c r="C237">
        <v>83</v>
      </c>
      <c r="D237">
        <v>123</v>
      </c>
      <c r="E237">
        <v>60948</v>
      </c>
      <c r="F237">
        <v>0</v>
      </c>
      <c r="G237">
        <v>341</v>
      </c>
      <c r="H237">
        <v>150342</v>
      </c>
      <c r="I237">
        <v>0.42199999999999999</v>
      </c>
      <c r="J237">
        <v>-2361000</v>
      </c>
      <c r="K237">
        <v>-6312000</v>
      </c>
      <c r="L237">
        <v>727500</v>
      </c>
      <c r="M237">
        <v>4217</v>
      </c>
      <c r="N237">
        <v>-880</v>
      </c>
      <c r="O237">
        <v>5986</v>
      </c>
      <c r="P237">
        <v>6.0092201230000004</v>
      </c>
      <c r="Q237">
        <v>-110.64121249999999</v>
      </c>
      <c r="R237">
        <v>399881.875</v>
      </c>
    </row>
    <row r="238" spans="1:18" x14ac:dyDescent="0.25">
      <c r="A238">
        <v>2161</v>
      </c>
      <c r="B238">
        <v>49580</v>
      </c>
      <c r="C238">
        <v>83</v>
      </c>
      <c r="D238">
        <v>124</v>
      </c>
      <c r="E238">
        <v>11796</v>
      </c>
      <c r="F238">
        <v>0</v>
      </c>
      <c r="G238">
        <v>341</v>
      </c>
      <c r="H238">
        <v>150342</v>
      </c>
      <c r="I238">
        <v>0.67200000000000004</v>
      </c>
      <c r="J238">
        <v>-2360000</v>
      </c>
      <c r="K238">
        <v>-6312000</v>
      </c>
      <c r="L238">
        <v>729000</v>
      </c>
      <c r="M238">
        <v>4218</v>
      </c>
      <c r="N238">
        <v>-878</v>
      </c>
      <c r="O238">
        <v>5986</v>
      </c>
      <c r="P238">
        <v>6.0092201230000004</v>
      </c>
      <c r="Q238">
        <v>-110.64121249999999</v>
      </c>
      <c r="R238">
        <v>399881.875</v>
      </c>
    </row>
    <row r="239" spans="1:18" x14ac:dyDescent="0.25">
      <c r="A239">
        <v>2161</v>
      </c>
      <c r="B239">
        <v>49581</v>
      </c>
      <c r="C239">
        <v>83</v>
      </c>
      <c r="D239">
        <v>124</v>
      </c>
      <c r="E239">
        <v>60948</v>
      </c>
      <c r="F239">
        <v>0</v>
      </c>
      <c r="G239">
        <v>341</v>
      </c>
      <c r="H239">
        <v>150343</v>
      </c>
      <c r="I239">
        <v>0.42199999999999999</v>
      </c>
      <c r="J239">
        <v>-2356000</v>
      </c>
      <c r="K239">
        <v>-6312000</v>
      </c>
      <c r="L239">
        <v>733400</v>
      </c>
      <c r="M239">
        <v>4220</v>
      </c>
      <c r="N239">
        <v>-872</v>
      </c>
      <c r="O239">
        <v>5985</v>
      </c>
      <c r="P239">
        <v>6.0092201230000004</v>
      </c>
      <c r="Q239">
        <v>-110.64121249999999</v>
      </c>
      <c r="R239">
        <v>399881.875</v>
      </c>
    </row>
    <row r="240" spans="1:18" x14ac:dyDescent="0.25">
      <c r="A240">
        <v>2161</v>
      </c>
      <c r="B240">
        <v>49582</v>
      </c>
      <c r="C240">
        <v>83</v>
      </c>
      <c r="D240">
        <v>125</v>
      </c>
      <c r="E240">
        <v>11796</v>
      </c>
      <c r="F240">
        <v>0</v>
      </c>
      <c r="G240">
        <v>341</v>
      </c>
      <c r="H240">
        <v>150343</v>
      </c>
      <c r="I240">
        <v>0.67200000000000004</v>
      </c>
      <c r="J240">
        <v>-2355000</v>
      </c>
      <c r="K240">
        <v>-6313000</v>
      </c>
      <c r="L240">
        <v>734900</v>
      </c>
      <c r="M240">
        <v>4220</v>
      </c>
      <c r="N240">
        <v>-870</v>
      </c>
      <c r="O240">
        <v>5985</v>
      </c>
      <c r="P240">
        <v>6.0092201230000004</v>
      </c>
      <c r="Q240">
        <v>-110.64121249999999</v>
      </c>
      <c r="R240">
        <v>399881.875</v>
      </c>
    </row>
    <row r="241" spans="1:18" x14ac:dyDescent="0.25">
      <c r="A241">
        <v>2161</v>
      </c>
      <c r="B241">
        <v>49583</v>
      </c>
      <c r="C241">
        <v>83</v>
      </c>
      <c r="D241">
        <v>125</v>
      </c>
      <c r="E241">
        <v>28180</v>
      </c>
      <c r="F241">
        <v>0</v>
      </c>
      <c r="G241">
        <v>341</v>
      </c>
      <c r="H241">
        <v>150343</v>
      </c>
      <c r="I241">
        <v>0.92200000000000004</v>
      </c>
      <c r="J241">
        <v>-2354000</v>
      </c>
      <c r="K241">
        <v>-6313000</v>
      </c>
      <c r="L241">
        <v>736400</v>
      </c>
      <c r="M241">
        <v>4221</v>
      </c>
      <c r="N241">
        <v>-868</v>
      </c>
      <c r="O241">
        <v>5985</v>
      </c>
      <c r="P241">
        <v>6.0092201230000004</v>
      </c>
      <c r="Q241">
        <v>-110.64121249999999</v>
      </c>
      <c r="R241">
        <v>399881.875</v>
      </c>
    </row>
    <row r="242" spans="1:18" x14ac:dyDescent="0.25">
      <c r="A242">
        <v>2161</v>
      </c>
      <c r="B242">
        <v>49584</v>
      </c>
      <c r="C242">
        <v>83</v>
      </c>
      <c r="D242">
        <v>125</v>
      </c>
      <c r="E242">
        <v>44564</v>
      </c>
      <c r="F242">
        <v>0</v>
      </c>
      <c r="G242">
        <v>341</v>
      </c>
      <c r="H242">
        <v>150344</v>
      </c>
      <c r="I242">
        <v>0.17199999999999999</v>
      </c>
      <c r="J242">
        <v>-2353000</v>
      </c>
      <c r="K242">
        <v>-6313000</v>
      </c>
      <c r="L242">
        <v>737800</v>
      </c>
      <c r="M242">
        <v>4222</v>
      </c>
      <c r="N242">
        <v>-866</v>
      </c>
      <c r="O242">
        <v>5984</v>
      </c>
      <c r="P242">
        <v>6.0092201230000004</v>
      </c>
      <c r="Q242">
        <v>-110.64121249999999</v>
      </c>
      <c r="R242">
        <v>399881.875</v>
      </c>
    </row>
    <row r="243" spans="1:18" x14ac:dyDescent="0.25">
      <c r="A243">
        <v>2161</v>
      </c>
      <c r="B243">
        <v>49585</v>
      </c>
      <c r="C243">
        <v>83</v>
      </c>
      <c r="D243">
        <v>125</v>
      </c>
      <c r="E243">
        <v>60948</v>
      </c>
      <c r="F243">
        <v>0</v>
      </c>
      <c r="G243">
        <v>341</v>
      </c>
      <c r="H243">
        <v>150344</v>
      </c>
      <c r="I243">
        <v>0.42199999999999999</v>
      </c>
      <c r="J243">
        <v>-2352000</v>
      </c>
      <c r="K243">
        <v>-6313000</v>
      </c>
      <c r="L243">
        <v>739300</v>
      </c>
      <c r="M243">
        <v>4223</v>
      </c>
      <c r="N243">
        <v>-865</v>
      </c>
      <c r="O243">
        <v>5984</v>
      </c>
      <c r="P243">
        <v>6.0092201230000004</v>
      </c>
      <c r="Q243">
        <v>-110.64121249999999</v>
      </c>
      <c r="R243">
        <v>399881.875</v>
      </c>
    </row>
    <row r="244" spans="1:18" x14ac:dyDescent="0.25">
      <c r="A244">
        <v>2161</v>
      </c>
      <c r="B244">
        <v>49586</v>
      </c>
      <c r="C244">
        <v>83</v>
      </c>
      <c r="D244">
        <v>126</v>
      </c>
      <c r="E244">
        <v>11796</v>
      </c>
      <c r="F244">
        <v>0</v>
      </c>
      <c r="G244">
        <v>341</v>
      </c>
      <c r="H244">
        <v>150344</v>
      </c>
      <c r="I244">
        <v>0.67200000000000004</v>
      </c>
      <c r="J244">
        <v>-2351000</v>
      </c>
      <c r="K244">
        <v>-6314000</v>
      </c>
      <c r="L244">
        <v>740800</v>
      </c>
      <c r="M244">
        <v>4223</v>
      </c>
      <c r="N244">
        <v>-863</v>
      </c>
      <c r="O244">
        <v>5984</v>
      </c>
      <c r="P244">
        <v>6.0092201230000004</v>
      </c>
      <c r="Q244">
        <v>-110.64121249999999</v>
      </c>
      <c r="R244">
        <v>399881.875</v>
      </c>
    </row>
    <row r="245" spans="1:18" x14ac:dyDescent="0.25">
      <c r="A245">
        <v>2161</v>
      </c>
      <c r="B245">
        <v>49587</v>
      </c>
      <c r="C245">
        <v>83</v>
      </c>
      <c r="D245">
        <v>126</v>
      </c>
      <c r="E245">
        <v>28180</v>
      </c>
      <c r="F245">
        <v>0</v>
      </c>
      <c r="G245">
        <v>341</v>
      </c>
      <c r="H245">
        <v>150344</v>
      </c>
      <c r="I245">
        <v>0.92200000000000004</v>
      </c>
      <c r="J245">
        <v>-2350000</v>
      </c>
      <c r="K245">
        <v>-6314000</v>
      </c>
      <c r="L245">
        <v>742300</v>
      </c>
      <c r="M245">
        <v>4224</v>
      </c>
      <c r="N245">
        <v>-861</v>
      </c>
      <c r="O245">
        <v>5984</v>
      </c>
      <c r="P245">
        <v>6.0092201230000004</v>
      </c>
      <c r="Q245">
        <v>-110.64121249999999</v>
      </c>
      <c r="R245">
        <v>399881.875</v>
      </c>
    </row>
    <row r="246" spans="1:18" x14ac:dyDescent="0.25">
      <c r="A246">
        <v>2161</v>
      </c>
      <c r="B246">
        <v>49588</v>
      </c>
      <c r="C246">
        <v>83</v>
      </c>
      <c r="D246">
        <v>126</v>
      </c>
      <c r="E246">
        <v>44564</v>
      </c>
      <c r="F246">
        <v>0</v>
      </c>
      <c r="G246">
        <v>341</v>
      </c>
      <c r="H246">
        <v>150345</v>
      </c>
      <c r="I246">
        <v>0.17199999999999999</v>
      </c>
      <c r="J246">
        <v>-2349000</v>
      </c>
      <c r="K246">
        <v>-6314000</v>
      </c>
      <c r="L246">
        <v>743800</v>
      </c>
      <c r="M246">
        <v>4225</v>
      </c>
      <c r="N246">
        <v>-859</v>
      </c>
      <c r="O246">
        <v>5983</v>
      </c>
      <c r="P246">
        <v>6.0092201230000004</v>
      </c>
      <c r="Q246">
        <v>-110.64121249999999</v>
      </c>
      <c r="R246">
        <v>399881.875</v>
      </c>
    </row>
    <row r="247" spans="1:18" x14ac:dyDescent="0.25">
      <c r="A247">
        <v>2161</v>
      </c>
      <c r="B247">
        <v>49589</v>
      </c>
      <c r="C247">
        <v>83</v>
      </c>
      <c r="D247">
        <v>126</v>
      </c>
      <c r="E247">
        <v>60948</v>
      </c>
      <c r="F247">
        <v>0</v>
      </c>
      <c r="G247">
        <v>341</v>
      </c>
      <c r="H247">
        <v>150345</v>
      </c>
      <c r="I247">
        <v>0.42199999999999999</v>
      </c>
      <c r="J247">
        <v>-2348000</v>
      </c>
      <c r="K247">
        <v>-6314000</v>
      </c>
      <c r="L247">
        <v>745300</v>
      </c>
      <c r="M247">
        <v>4225</v>
      </c>
      <c r="N247">
        <v>-857</v>
      </c>
      <c r="O247">
        <v>5983</v>
      </c>
      <c r="P247">
        <v>6.0092201230000004</v>
      </c>
      <c r="Q247">
        <v>-110.64121249999999</v>
      </c>
      <c r="R247">
        <v>399881.875</v>
      </c>
    </row>
    <row r="248" spans="1:18" x14ac:dyDescent="0.25">
      <c r="A248">
        <v>2161</v>
      </c>
      <c r="B248">
        <v>49590</v>
      </c>
      <c r="C248">
        <v>83</v>
      </c>
      <c r="D248">
        <v>127</v>
      </c>
      <c r="E248">
        <v>11796</v>
      </c>
      <c r="F248">
        <v>0</v>
      </c>
      <c r="G248">
        <v>341</v>
      </c>
      <c r="H248">
        <v>150345</v>
      </c>
      <c r="I248">
        <v>0.67200000000000004</v>
      </c>
      <c r="J248">
        <v>-2347000</v>
      </c>
      <c r="K248">
        <v>-6314000</v>
      </c>
      <c r="L248">
        <v>746800</v>
      </c>
      <c r="M248">
        <v>4226</v>
      </c>
      <c r="N248">
        <v>-855</v>
      </c>
      <c r="O248">
        <v>5983</v>
      </c>
      <c r="P248">
        <v>6.0092201230000004</v>
      </c>
      <c r="Q248">
        <v>-110.64121249999999</v>
      </c>
      <c r="R248">
        <v>399881.875</v>
      </c>
    </row>
    <row r="249" spans="1:18" x14ac:dyDescent="0.25">
      <c r="A249">
        <v>2161</v>
      </c>
      <c r="B249">
        <v>49591</v>
      </c>
      <c r="C249">
        <v>83</v>
      </c>
      <c r="D249">
        <v>127</v>
      </c>
      <c r="E249">
        <v>28180</v>
      </c>
      <c r="F249">
        <v>0</v>
      </c>
      <c r="G249">
        <v>341</v>
      </c>
      <c r="H249">
        <v>150345</v>
      </c>
      <c r="I249">
        <v>0.92200000000000004</v>
      </c>
      <c r="J249">
        <v>-2346000</v>
      </c>
      <c r="K249">
        <v>-6315000</v>
      </c>
      <c r="L249">
        <v>748300</v>
      </c>
      <c r="M249">
        <v>4227</v>
      </c>
      <c r="N249">
        <v>-854</v>
      </c>
      <c r="O249">
        <v>5983</v>
      </c>
      <c r="P249">
        <v>6.0092201230000004</v>
      </c>
      <c r="Q249">
        <v>-110.64121249999999</v>
      </c>
      <c r="R249">
        <v>399881.875</v>
      </c>
    </row>
    <row r="250" spans="1:18" x14ac:dyDescent="0.25">
      <c r="A250">
        <v>2161</v>
      </c>
      <c r="B250">
        <v>49592</v>
      </c>
      <c r="C250">
        <v>83</v>
      </c>
      <c r="D250">
        <v>127</v>
      </c>
      <c r="E250">
        <v>44564</v>
      </c>
      <c r="F250">
        <v>0</v>
      </c>
      <c r="G250">
        <v>341</v>
      </c>
      <c r="H250">
        <v>150346</v>
      </c>
      <c r="I250">
        <v>0.17199999999999999</v>
      </c>
      <c r="J250">
        <v>-2345000</v>
      </c>
      <c r="K250">
        <v>-6315000</v>
      </c>
      <c r="L250">
        <v>749800</v>
      </c>
      <c r="M250">
        <v>4228</v>
      </c>
      <c r="N250">
        <v>-852</v>
      </c>
      <c r="O250">
        <v>5982</v>
      </c>
      <c r="P250">
        <v>6.0092201230000004</v>
      </c>
      <c r="Q250">
        <v>-110.64121249999999</v>
      </c>
      <c r="R250">
        <v>399881.875</v>
      </c>
    </row>
    <row r="251" spans="1:18" x14ac:dyDescent="0.25">
      <c r="A251">
        <v>2161</v>
      </c>
      <c r="B251">
        <v>49593</v>
      </c>
      <c r="C251">
        <v>83</v>
      </c>
      <c r="D251">
        <v>127</v>
      </c>
      <c r="E251">
        <v>60948</v>
      </c>
      <c r="F251">
        <v>0</v>
      </c>
      <c r="G251">
        <v>341</v>
      </c>
      <c r="H251">
        <v>150346</v>
      </c>
      <c r="I251">
        <v>0.42199999999999999</v>
      </c>
      <c r="J251">
        <v>-2344000</v>
      </c>
      <c r="K251">
        <v>-6315000</v>
      </c>
      <c r="L251">
        <v>751300</v>
      </c>
      <c r="M251">
        <v>4228</v>
      </c>
      <c r="N251">
        <v>-850</v>
      </c>
      <c r="O251">
        <v>5982</v>
      </c>
      <c r="P251">
        <v>6.0092201230000004</v>
      </c>
      <c r="Q251">
        <v>-110.64121249999999</v>
      </c>
      <c r="R251">
        <v>399881.875</v>
      </c>
    </row>
    <row r="252" spans="1:18" x14ac:dyDescent="0.25">
      <c r="A252">
        <v>2161</v>
      </c>
      <c r="B252">
        <v>49594</v>
      </c>
      <c r="C252">
        <v>83</v>
      </c>
      <c r="D252">
        <v>128</v>
      </c>
      <c r="E252">
        <v>11796</v>
      </c>
      <c r="F252">
        <v>0</v>
      </c>
      <c r="G252">
        <v>341</v>
      </c>
      <c r="H252">
        <v>150346</v>
      </c>
      <c r="I252">
        <v>0.67200000000000004</v>
      </c>
      <c r="J252">
        <v>-2343000</v>
      </c>
      <c r="K252">
        <v>-6315000</v>
      </c>
      <c r="L252">
        <v>752800</v>
      </c>
      <c r="M252">
        <v>4229</v>
      </c>
      <c r="N252">
        <v>-848</v>
      </c>
      <c r="O252">
        <v>5982</v>
      </c>
      <c r="P252">
        <v>6.0092201230000004</v>
      </c>
      <c r="Q252">
        <v>-110.64121249999999</v>
      </c>
      <c r="R252">
        <v>399881.875</v>
      </c>
    </row>
    <row r="253" spans="1:18" x14ac:dyDescent="0.25">
      <c r="A253">
        <v>2161</v>
      </c>
      <c r="B253">
        <v>49595</v>
      </c>
      <c r="C253">
        <v>83</v>
      </c>
      <c r="D253">
        <v>128</v>
      </c>
      <c r="E253">
        <v>28180</v>
      </c>
      <c r="F253">
        <v>0</v>
      </c>
      <c r="G253">
        <v>341</v>
      </c>
      <c r="H253">
        <v>150346</v>
      </c>
      <c r="I253">
        <v>0.92200000000000004</v>
      </c>
      <c r="J253">
        <v>-2342000</v>
      </c>
      <c r="K253">
        <v>-6315000</v>
      </c>
      <c r="L253">
        <v>754300</v>
      </c>
      <c r="M253">
        <v>4230</v>
      </c>
      <c r="N253">
        <v>-846</v>
      </c>
      <c r="O253">
        <v>5982</v>
      </c>
      <c r="P253">
        <v>6.0092201230000004</v>
      </c>
      <c r="Q253">
        <v>-110.64121249999999</v>
      </c>
      <c r="R253">
        <v>399881.875</v>
      </c>
    </row>
    <row r="254" spans="1:18" x14ac:dyDescent="0.25">
      <c r="A254">
        <v>2161</v>
      </c>
      <c r="B254">
        <v>49596</v>
      </c>
      <c r="C254">
        <v>83</v>
      </c>
      <c r="D254">
        <v>128</v>
      </c>
      <c r="E254">
        <v>44564</v>
      </c>
      <c r="F254">
        <v>0</v>
      </c>
      <c r="G254">
        <v>341</v>
      </c>
      <c r="H254">
        <v>150347</v>
      </c>
      <c r="I254">
        <v>0.17199999999999999</v>
      </c>
      <c r="J254">
        <v>-2341000</v>
      </c>
      <c r="K254">
        <v>-6316000</v>
      </c>
      <c r="L254">
        <v>755700</v>
      </c>
      <c r="M254">
        <v>4230</v>
      </c>
      <c r="N254">
        <v>-844</v>
      </c>
      <c r="O254">
        <v>5981</v>
      </c>
      <c r="P254">
        <v>6.0092201230000004</v>
      </c>
      <c r="Q254">
        <v>-110.64121249999999</v>
      </c>
      <c r="R254">
        <v>399881.875</v>
      </c>
    </row>
    <row r="255" spans="1:18" x14ac:dyDescent="0.25">
      <c r="A255">
        <v>2161</v>
      </c>
      <c r="B255">
        <v>49597</v>
      </c>
      <c r="C255">
        <v>83</v>
      </c>
      <c r="D255">
        <v>128</v>
      </c>
      <c r="E255">
        <v>60948</v>
      </c>
      <c r="F255">
        <v>0</v>
      </c>
      <c r="G255">
        <v>341</v>
      </c>
      <c r="H255">
        <v>150347</v>
      </c>
      <c r="I255">
        <v>0.42199999999999999</v>
      </c>
      <c r="J255">
        <v>-2340000</v>
      </c>
      <c r="K255">
        <v>-6316000</v>
      </c>
      <c r="L255">
        <v>757200</v>
      </c>
      <c r="M255">
        <v>4231</v>
      </c>
      <c r="N255">
        <v>-842</v>
      </c>
      <c r="O255">
        <v>5981</v>
      </c>
      <c r="P255">
        <v>6.0092201230000004</v>
      </c>
      <c r="Q255">
        <v>-110.64121249999999</v>
      </c>
      <c r="R255">
        <v>399881.875</v>
      </c>
    </row>
    <row r="256" spans="1:18" x14ac:dyDescent="0.25">
      <c r="A256">
        <v>2161</v>
      </c>
      <c r="B256">
        <v>49598</v>
      </c>
      <c r="C256">
        <v>83</v>
      </c>
      <c r="D256">
        <v>129</v>
      </c>
      <c r="E256">
        <v>11796</v>
      </c>
      <c r="F256">
        <v>0</v>
      </c>
      <c r="G256">
        <v>341</v>
      </c>
      <c r="H256">
        <v>150347</v>
      </c>
      <c r="I256">
        <v>0.67200000000000004</v>
      </c>
      <c r="J256">
        <v>-2339000</v>
      </c>
      <c r="K256">
        <v>-6316000</v>
      </c>
      <c r="L256">
        <v>758700</v>
      </c>
      <c r="M256">
        <v>4232</v>
      </c>
      <c r="N256">
        <v>-840</v>
      </c>
      <c r="O256">
        <v>5981</v>
      </c>
      <c r="P256">
        <v>6.0092201230000004</v>
      </c>
      <c r="Q256">
        <v>-110.64121249999999</v>
      </c>
      <c r="R256">
        <v>399881.875</v>
      </c>
    </row>
    <row r="257" spans="1:18" x14ac:dyDescent="0.25">
      <c r="A257">
        <v>2161</v>
      </c>
      <c r="B257">
        <v>49599</v>
      </c>
      <c r="C257">
        <v>83</v>
      </c>
      <c r="D257">
        <v>129</v>
      </c>
      <c r="E257">
        <v>28180</v>
      </c>
      <c r="F257">
        <v>0</v>
      </c>
      <c r="G257">
        <v>341</v>
      </c>
      <c r="H257">
        <v>150347</v>
      </c>
      <c r="I257">
        <v>0.92200000000000004</v>
      </c>
      <c r="J257">
        <v>-2338000</v>
      </c>
      <c r="K257">
        <v>-6316000</v>
      </c>
      <c r="L257">
        <v>760200</v>
      </c>
      <c r="M257">
        <v>4233</v>
      </c>
      <c r="N257">
        <v>-839</v>
      </c>
      <c r="O257">
        <v>5981</v>
      </c>
      <c r="P257">
        <v>6.0092201230000004</v>
      </c>
      <c r="Q257">
        <v>-110.64121249999999</v>
      </c>
      <c r="R257">
        <v>399881.875</v>
      </c>
    </row>
    <row r="258" spans="1:18" x14ac:dyDescent="0.25">
      <c r="A258">
        <v>2161</v>
      </c>
      <c r="B258">
        <v>49600</v>
      </c>
      <c r="C258">
        <v>83</v>
      </c>
      <c r="D258">
        <v>129</v>
      </c>
      <c r="E258">
        <v>44564</v>
      </c>
      <c r="F258">
        <v>0</v>
      </c>
      <c r="G258">
        <v>341</v>
      </c>
      <c r="H258">
        <v>150348</v>
      </c>
      <c r="I258">
        <v>0.17199999999999999</v>
      </c>
      <c r="J258">
        <v>-2336000</v>
      </c>
      <c r="K258">
        <v>-6317000</v>
      </c>
      <c r="L258">
        <v>761700</v>
      </c>
      <c r="M258">
        <v>4233</v>
      </c>
      <c r="N258">
        <v>-837</v>
      </c>
      <c r="O258">
        <v>5981</v>
      </c>
      <c r="P258">
        <v>6.0092201230000004</v>
      </c>
      <c r="Q258">
        <v>-110.64121249999999</v>
      </c>
      <c r="R258">
        <v>399881.875</v>
      </c>
    </row>
    <row r="259" spans="1:18" x14ac:dyDescent="0.25">
      <c r="A259">
        <v>2161</v>
      </c>
      <c r="B259">
        <v>49601</v>
      </c>
      <c r="C259">
        <v>83</v>
      </c>
      <c r="D259">
        <v>129</v>
      </c>
      <c r="E259">
        <v>61603</v>
      </c>
      <c r="F259">
        <v>0</v>
      </c>
      <c r="G259">
        <v>341</v>
      </c>
      <c r="H259">
        <v>150348</v>
      </c>
      <c r="I259">
        <v>0.42199999999999999</v>
      </c>
      <c r="J259">
        <v>-2335000</v>
      </c>
      <c r="K259">
        <v>-6317000</v>
      </c>
      <c r="L259">
        <v>763200</v>
      </c>
      <c r="M259">
        <v>4234</v>
      </c>
      <c r="N259">
        <v>-835</v>
      </c>
      <c r="O259">
        <v>5980</v>
      </c>
      <c r="P259">
        <v>6.0092201230000004</v>
      </c>
      <c r="Q259">
        <v>-110.64121249999999</v>
      </c>
      <c r="R259">
        <v>399881.875</v>
      </c>
    </row>
    <row r="260" spans="1:18" x14ac:dyDescent="0.25">
      <c r="A260">
        <v>2161</v>
      </c>
      <c r="B260">
        <v>49602</v>
      </c>
      <c r="C260">
        <v>83</v>
      </c>
      <c r="D260">
        <v>130</v>
      </c>
      <c r="E260">
        <v>12451</v>
      </c>
      <c r="F260">
        <v>0</v>
      </c>
      <c r="G260">
        <v>341</v>
      </c>
      <c r="H260">
        <v>150348</v>
      </c>
      <c r="I260">
        <v>0.67200000000000004</v>
      </c>
      <c r="J260">
        <v>-2334000</v>
      </c>
      <c r="K260">
        <v>-6317000</v>
      </c>
      <c r="L260">
        <v>764700</v>
      </c>
      <c r="M260">
        <v>4235</v>
      </c>
      <c r="N260">
        <v>-833</v>
      </c>
      <c r="O260">
        <v>5980</v>
      </c>
      <c r="P260">
        <v>6.0092201230000004</v>
      </c>
      <c r="Q260">
        <v>-110.64121249999999</v>
      </c>
      <c r="R260">
        <v>399881.875</v>
      </c>
    </row>
    <row r="261" spans="1:18" x14ac:dyDescent="0.25">
      <c r="A261">
        <v>2161</v>
      </c>
      <c r="B261">
        <v>49603</v>
      </c>
      <c r="C261">
        <v>83</v>
      </c>
      <c r="D261">
        <v>130</v>
      </c>
      <c r="E261">
        <v>28835</v>
      </c>
      <c r="F261">
        <v>0</v>
      </c>
      <c r="G261">
        <v>341</v>
      </c>
      <c r="H261">
        <v>150348</v>
      </c>
      <c r="I261">
        <v>0.92200000000000004</v>
      </c>
      <c r="J261">
        <v>-2333000</v>
      </c>
      <c r="K261">
        <v>-6317000</v>
      </c>
      <c r="L261">
        <v>766200</v>
      </c>
      <c r="M261">
        <v>4236</v>
      </c>
      <c r="N261">
        <v>-831</v>
      </c>
      <c r="O261">
        <v>5980</v>
      </c>
      <c r="P261">
        <v>6.0092201230000004</v>
      </c>
      <c r="Q261">
        <v>-110.64121249999999</v>
      </c>
      <c r="R261">
        <v>399881.875</v>
      </c>
    </row>
    <row r="262" spans="1:18" x14ac:dyDescent="0.25">
      <c r="A262">
        <v>2161</v>
      </c>
      <c r="B262">
        <v>49604</v>
      </c>
      <c r="C262">
        <v>83</v>
      </c>
      <c r="D262">
        <v>130</v>
      </c>
      <c r="E262">
        <v>45219</v>
      </c>
      <c r="F262">
        <v>0</v>
      </c>
      <c r="G262">
        <v>341</v>
      </c>
      <c r="H262">
        <v>150348</v>
      </c>
      <c r="I262">
        <v>0.92200000000000004</v>
      </c>
      <c r="J262">
        <v>-2333000</v>
      </c>
      <c r="K262">
        <v>-6317000</v>
      </c>
      <c r="L262">
        <v>766200</v>
      </c>
      <c r="M262">
        <v>4236</v>
      </c>
      <c r="N262">
        <v>-831</v>
      </c>
      <c r="O262">
        <v>5980</v>
      </c>
      <c r="P262">
        <v>6.5444741249999998</v>
      </c>
      <c r="Q262">
        <v>-110.2629929</v>
      </c>
      <c r="R262">
        <v>399851.875</v>
      </c>
    </row>
    <row r="263" spans="1:18" x14ac:dyDescent="0.25">
      <c r="A263">
        <v>2161</v>
      </c>
      <c r="B263">
        <v>49605</v>
      </c>
      <c r="C263">
        <v>83</v>
      </c>
      <c r="D263">
        <v>130</v>
      </c>
      <c r="E263">
        <v>61603</v>
      </c>
      <c r="F263">
        <v>0</v>
      </c>
      <c r="G263">
        <v>341</v>
      </c>
      <c r="H263">
        <v>150349</v>
      </c>
      <c r="I263">
        <v>0.42199999999999999</v>
      </c>
      <c r="J263">
        <v>-2331000</v>
      </c>
      <c r="K263">
        <v>-6318000</v>
      </c>
      <c r="L263">
        <v>769200</v>
      </c>
      <c r="M263">
        <v>4237</v>
      </c>
      <c r="N263">
        <v>-827</v>
      </c>
      <c r="O263">
        <v>5979</v>
      </c>
      <c r="P263">
        <v>6.5444741249999998</v>
      </c>
      <c r="Q263">
        <v>-110.2629929</v>
      </c>
      <c r="R263">
        <v>399851.875</v>
      </c>
    </row>
    <row r="264" spans="1:18" x14ac:dyDescent="0.25">
      <c r="A264">
        <v>2161</v>
      </c>
      <c r="B264">
        <v>49606</v>
      </c>
      <c r="C264">
        <v>83</v>
      </c>
      <c r="D264">
        <v>131</v>
      </c>
      <c r="E264">
        <v>12451</v>
      </c>
      <c r="F264">
        <v>0</v>
      </c>
      <c r="G264">
        <v>341</v>
      </c>
      <c r="H264">
        <v>150349</v>
      </c>
      <c r="I264">
        <v>0.67200000000000004</v>
      </c>
      <c r="J264">
        <v>-2330000</v>
      </c>
      <c r="K264">
        <v>-6318000</v>
      </c>
      <c r="L264">
        <v>770700</v>
      </c>
      <c r="M264">
        <v>4238</v>
      </c>
      <c r="N264">
        <v>-826</v>
      </c>
      <c r="O264">
        <v>5979</v>
      </c>
      <c r="P264">
        <v>6.5444741249999998</v>
      </c>
      <c r="Q264">
        <v>-110.2629929</v>
      </c>
      <c r="R264">
        <v>399851.875</v>
      </c>
    </row>
    <row r="265" spans="1:18" x14ac:dyDescent="0.25">
      <c r="A265">
        <v>2161</v>
      </c>
      <c r="B265">
        <v>49607</v>
      </c>
      <c r="C265">
        <v>83</v>
      </c>
      <c r="D265">
        <v>131</v>
      </c>
      <c r="E265">
        <v>28835</v>
      </c>
      <c r="F265">
        <v>0</v>
      </c>
      <c r="G265">
        <v>341</v>
      </c>
      <c r="H265">
        <v>150349</v>
      </c>
      <c r="I265">
        <v>0.92200000000000004</v>
      </c>
      <c r="J265">
        <v>-2329000</v>
      </c>
      <c r="K265">
        <v>-6318000</v>
      </c>
      <c r="L265">
        <v>772200</v>
      </c>
      <c r="M265">
        <v>4238</v>
      </c>
      <c r="N265">
        <v>-824</v>
      </c>
      <c r="O265">
        <v>5979</v>
      </c>
      <c r="P265">
        <v>6.5444741249999998</v>
      </c>
      <c r="Q265">
        <v>-110.2629929</v>
      </c>
      <c r="R265">
        <v>399851.875</v>
      </c>
    </row>
    <row r="266" spans="1:18" x14ac:dyDescent="0.25">
      <c r="A266">
        <v>2161</v>
      </c>
      <c r="B266">
        <v>49608</v>
      </c>
      <c r="C266">
        <v>83</v>
      </c>
      <c r="D266">
        <v>131</v>
      </c>
      <c r="E266">
        <v>45219</v>
      </c>
      <c r="F266">
        <v>0</v>
      </c>
      <c r="G266">
        <v>341</v>
      </c>
      <c r="H266">
        <v>150350</v>
      </c>
      <c r="I266">
        <v>0.17199999999999999</v>
      </c>
      <c r="J266">
        <v>-2328000</v>
      </c>
      <c r="K266">
        <v>-6318000</v>
      </c>
      <c r="L266">
        <v>773600</v>
      </c>
      <c r="M266">
        <v>4239</v>
      </c>
      <c r="N266">
        <v>-822</v>
      </c>
      <c r="O266">
        <v>5979</v>
      </c>
      <c r="P266">
        <v>6.5444741249999998</v>
      </c>
      <c r="Q266">
        <v>-110.2629929</v>
      </c>
      <c r="R266">
        <v>399851.875</v>
      </c>
    </row>
    <row r="267" spans="1:18" x14ac:dyDescent="0.25">
      <c r="A267">
        <v>2161</v>
      </c>
      <c r="B267">
        <v>49609</v>
      </c>
      <c r="C267">
        <v>83</v>
      </c>
      <c r="D267">
        <v>131</v>
      </c>
      <c r="E267">
        <v>61603</v>
      </c>
      <c r="F267">
        <v>0</v>
      </c>
      <c r="G267">
        <v>341</v>
      </c>
      <c r="H267">
        <v>150350</v>
      </c>
      <c r="I267">
        <v>0.42199999999999999</v>
      </c>
      <c r="J267">
        <v>-2327000</v>
      </c>
      <c r="K267">
        <v>-6318000</v>
      </c>
      <c r="L267">
        <v>775100</v>
      </c>
      <c r="M267">
        <v>4240</v>
      </c>
      <c r="N267">
        <v>-820</v>
      </c>
      <c r="O267">
        <v>5978</v>
      </c>
      <c r="P267">
        <v>6.5444741249999998</v>
      </c>
      <c r="Q267">
        <v>-110.2629929</v>
      </c>
      <c r="R267">
        <v>399851.875</v>
      </c>
    </row>
    <row r="268" spans="1:18" x14ac:dyDescent="0.25">
      <c r="A268">
        <v>2161</v>
      </c>
      <c r="B268">
        <v>49610</v>
      </c>
      <c r="C268">
        <v>83</v>
      </c>
      <c r="D268">
        <v>132</v>
      </c>
      <c r="E268">
        <v>12451</v>
      </c>
      <c r="F268">
        <v>0</v>
      </c>
      <c r="G268">
        <v>341</v>
      </c>
      <c r="H268">
        <v>150350</v>
      </c>
      <c r="I268">
        <v>0.67200000000000004</v>
      </c>
      <c r="J268">
        <v>-2326000</v>
      </c>
      <c r="K268">
        <v>-6319000</v>
      </c>
      <c r="L268">
        <v>776600</v>
      </c>
      <c r="M268">
        <v>4240</v>
      </c>
      <c r="N268">
        <v>-818</v>
      </c>
      <c r="O268">
        <v>5978</v>
      </c>
      <c r="P268">
        <v>6.5444741249999998</v>
      </c>
      <c r="Q268">
        <v>-110.2629929</v>
      </c>
      <c r="R268">
        <v>399851.875</v>
      </c>
    </row>
    <row r="269" spans="1:18" x14ac:dyDescent="0.25">
      <c r="A269">
        <v>2161</v>
      </c>
      <c r="B269">
        <v>49611</v>
      </c>
      <c r="C269">
        <v>83</v>
      </c>
      <c r="D269">
        <v>132</v>
      </c>
      <c r="E269">
        <v>28835</v>
      </c>
      <c r="F269">
        <v>0</v>
      </c>
      <c r="G269">
        <v>341</v>
      </c>
      <c r="H269">
        <v>150350</v>
      </c>
      <c r="I269">
        <v>0.92200000000000004</v>
      </c>
      <c r="J269">
        <v>-2325000</v>
      </c>
      <c r="K269">
        <v>-6319000</v>
      </c>
      <c r="L269">
        <v>778100</v>
      </c>
      <c r="M269">
        <v>4241</v>
      </c>
      <c r="N269">
        <v>-816</v>
      </c>
      <c r="O269">
        <v>5978</v>
      </c>
      <c r="P269">
        <v>6.5444741249999998</v>
      </c>
      <c r="Q269">
        <v>-110.2629929</v>
      </c>
      <c r="R269">
        <v>399851.875</v>
      </c>
    </row>
    <row r="270" spans="1:18" x14ac:dyDescent="0.25">
      <c r="A270">
        <v>2161</v>
      </c>
      <c r="B270">
        <v>49612</v>
      </c>
      <c r="C270">
        <v>83</v>
      </c>
      <c r="D270">
        <v>132</v>
      </c>
      <c r="E270">
        <v>45219</v>
      </c>
      <c r="F270">
        <v>0</v>
      </c>
      <c r="G270">
        <v>341</v>
      </c>
      <c r="H270">
        <v>150351</v>
      </c>
      <c r="I270">
        <v>0.17199999999999999</v>
      </c>
      <c r="J270">
        <v>-2324000</v>
      </c>
      <c r="K270">
        <v>-6319000</v>
      </c>
      <c r="L270">
        <v>779500</v>
      </c>
      <c r="M270">
        <v>4242</v>
      </c>
      <c r="N270">
        <v>-814</v>
      </c>
      <c r="O270">
        <v>5978</v>
      </c>
      <c r="P270">
        <v>6.5444741249999998</v>
      </c>
      <c r="Q270">
        <v>-110.2629929</v>
      </c>
      <c r="R270">
        <v>399851.875</v>
      </c>
    </row>
    <row r="271" spans="1:18" x14ac:dyDescent="0.25">
      <c r="A271">
        <v>2161</v>
      </c>
      <c r="B271">
        <v>49613</v>
      </c>
      <c r="C271">
        <v>83</v>
      </c>
      <c r="D271">
        <v>132</v>
      </c>
      <c r="E271">
        <v>61603</v>
      </c>
      <c r="F271">
        <v>0</v>
      </c>
      <c r="G271">
        <v>341</v>
      </c>
      <c r="H271">
        <v>150351</v>
      </c>
      <c r="I271">
        <v>0.42199999999999999</v>
      </c>
      <c r="J271">
        <v>-2323000</v>
      </c>
      <c r="K271">
        <v>-6319000</v>
      </c>
      <c r="L271">
        <v>781000</v>
      </c>
      <c r="M271">
        <v>4243</v>
      </c>
      <c r="N271">
        <v>-813</v>
      </c>
      <c r="O271">
        <v>5977</v>
      </c>
      <c r="P271">
        <v>6.5444741249999998</v>
      </c>
      <c r="Q271">
        <v>-110.2629929</v>
      </c>
      <c r="R271">
        <v>399851.875</v>
      </c>
    </row>
    <row r="272" spans="1:18" x14ac:dyDescent="0.25">
      <c r="A272">
        <v>2161</v>
      </c>
      <c r="B272">
        <v>49614</v>
      </c>
      <c r="C272">
        <v>83</v>
      </c>
      <c r="D272">
        <v>133</v>
      </c>
      <c r="E272">
        <v>12451</v>
      </c>
      <c r="F272">
        <v>0</v>
      </c>
      <c r="G272">
        <v>341</v>
      </c>
      <c r="H272">
        <v>150351</v>
      </c>
      <c r="I272">
        <v>0.67200000000000004</v>
      </c>
      <c r="J272">
        <v>-2322000</v>
      </c>
      <c r="K272">
        <v>-6319000</v>
      </c>
      <c r="L272">
        <v>782500</v>
      </c>
      <c r="M272">
        <v>4243</v>
      </c>
      <c r="N272">
        <v>-811</v>
      </c>
      <c r="O272">
        <v>5977</v>
      </c>
      <c r="P272">
        <v>6.5444741249999998</v>
      </c>
      <c r="Q272">
        <v>-110.2629929</v>
      </c>
      <c r="R272">
        <v>399851.875</v>
      </c>
    </row>
    <row r="273" spans="1:18" x14ac:dyDescent="0.25">
      <c r="A273">
        <v>2161</v>
      </c>
      <c r="B273">
        <v>49615</v>
      </c>
      <c r="C273">
        <v>83</v>
      </c>
      <c r="D273">
        <v>133</v>
      </c>
      <c r="E273">
        <v>28835</v>
      </c>
      <c r="F273">
        <v>0</v>
      </c>
      <c r="G273">
        <v>341</v>
      </c>
      <c r="H273">
        <v>150351</v>
      </c>
      <c r="I273">
        <v>0.92200000000000004</v>
      </c>
      <c r="J273">
        <v>-2321000</v>
      </c>
      <c r="K273">
        <v>-6320000</v>
      </c>
      <c r="L273">
        <v>784000</v>
      </c>
      <c r="M273">
        <v>4244</v>
      </c>
      <c r="N273">
        <v>-809</v>
      </c>
      <c r="O273">
        <v>5977</v>
      </c>
      <c r="P273">
        <v>6.5444741249999998</v>
      </c>
      <c r="Q273">
        <v>-110.2629929</v>
      </c>
      <c r="R273">
        <v>399851.875</v>
      </c>
    </row>
    <row r="274" spans="1:18" x14ac:dyDescent="0.25">
      <c r="A274">
        <v>2161</v>
      </c>
      <c r="B274">
        <v>49616</v>
      </c>
      <c r="C274">
        <v>83</v>
      </c>
      <c r="D274">
        <v>133</v>
      </c>
      <c r="E274">
        <v>45219</v>
      </c>
      <c r="F274">
        <v>0</v>
      </c>
      <c r="G274">
        <v>341</v>
      </c>
      <c r="H274">
        <v>150352</v>
      </c>
      <c r="I274">
        <v>0.17199999999999999</v>
      </c>
      <c r="J274">
        <v>-2320000</v>
      </c>
      <c r="K274">
        <v>-6320000</v>
      </c>
      <c r="L274">
        <v>785400</v>
      </c>
      <c r="M274">
        <v>4245</v>
      </c>
      <c r="N274">
        <v>-807</v>
      </c>
      <c r="O274">
        <v>5977</v>
      </c>
      <c r="P274">
        <v>6.5444741249999998</v>
      </c>
      <c r="Q274">
        <v>-110.2629929</v>
      </c>
      <c r="R274">
        <v>399851.875</v>
      </c>
    </row>
    <row r="275" spans="1:18" x14ac:dyDescent="0.25">
      <c r="A275">
        <v>2161</v>
      </c>
      <c r="B275">
        <v>49617</v>
      </c>
      <c r="C275">
        <v>83</v>
      </c>
      <c r="D275">
        <v>133</v>
      </c>
      <c r="E275">
        <v>61603</v>
      </c>
      <c r="F275">
        <v>0</v>
      </c>
      <c r="G275">
        <v>341</v>
      </c>
      <c r="H275">
        <v>150352</v>
      </c>
      <c r="I275">
        <v>0.42199999999999999</v>
      </c>
      <c r="J275">
        <v>-2319000</v>
      </c>
      <c r="K275">
        <v>-6320000</v>
      </c>
      <c r="L275">
        <v>786900</v>
      </c>
      <c r="M275">
        <v>4245</v>
      </c>
      <c r="N275">
        <v>-805</v>
      </c>
      <c r="O275">
        <v>5976</v>
      </c>
      <c r="P275">
        <v>6.5444741249999998</v>
      </c>
      <c r="Q275">
        <v>-110.2629929</v>
      </c>
      <c r="R275">
        <v>399851.875</v>
      </c>
    </row>
    <row r="276" spans="1:18" x14ac:dyDescent="0.25">
      <c r="A276">
        <v>2161</v>
      </c>
      <c r="B276">
        <v>49618</v>
      </c>
      <c r="C276">
        <v>83</v>
      </c>
      <c r="D276">
        <v>134</v>
      </c>
      <c r="E276">
        <v>12451</v>
      </c>
      <c r="F276">
        <v>0</v>
      </c>
      <c r="G276">
        <v>341</v>
      </c>
      <c r="H276">
        <v>150352</v>
      </c>
      <c r="I276">
        <v>0.67200000000000004</v>
      </c>
      <c r="J276">
        <v>-2318000</v>
      </c>
      <c r="K276">
        <v>-6320000</v>
      </c>
      <c r="L276">
        <v>788400</v>
      </c>
      <c r="M276">
        <v>4246</v>
      </c>
      <c r="N276">
        <v>-803</v>
      </c>
      <c r="O276">
        <v>5976</v>
      </c>
      <c r="P276">
        <v>6.5444741249999998</v>
      </c>
      <c r="Q276">
        <v>-110.2629929</v>
      </c>
      <c r="R276">
        <v>399851.875</v>
      </c>
    </row>
    <row r="277" spans="1:18" x14ac:dyDescent="0.25">
      <c r="A277">
        <v>2161</v>
      </c>
      <c r="B277">
        <v>49619</v>
      </c>
      <c r="C277">
        <v>83</v>
      </c>
      <c r="D277">
        <v>134</v>
      </c>
      <c r="E277">
        <v>28835</v>
      </c>
      <c r="F277">
        <v>0</v>
      </c>
      <c r="G277">
        <v>341</v>
      </c>
      <c r="H277">
        <v>150352</v>
      </c>
      <c r="I277">
        <v>0.92200000000000004</v>
      </c>
      <c r="J277">
        <v>-2316000</v>
      </c>
      <c r="K277">
        <v>-6320000</v>
      </c>
      <c r="L277">
        <v>789900</v>
      </c>
      <c r="M277">
        <v>4247</v>
      </c>
      <c r="N277">
        <v>-801</v>
      </c>
      <c r="O277">
        <v>5976</v>
      </c>
      <c r="P277">
        <v>6.5444741249999998</v>
      </c>
      <c r="Q277">
        <v>-110.2629929</v>
      </c>
      <c r="R277">
        <v>399851.875</v>
      </c>
    </row>
    <row r="278" spans="1:18" x14ac:dyDescent="0.25">
      <c r="A278">
        <v>2161</v>
      </c>
      <c r="B278">
        <v>49620</v>
      </c>
      <c r="C278">
        <v>83</v>
      </c>
      <c r="D278">
        <v>134</v>
      </c>
      <c r="E278">
        <v>45219</v>
      </c>
      <c r="F278">
        <v>0</v>
      </c>
      <c r="G278">
        <v>341</v>
      </c>
      <c r="H278">
        <v>150353</v>
      </c>
      <c r="I278">
        <v>0.17199999999999999</v>
      </c>
      <c r="J278">
        <v>-2315000</v>
      </c>
      <c r="K278">
        <v>-6321000</v>
      </c>
      <c r="L278">
        <v>791400</v>
      </c>
      <c r="M278">
        <v>4248</v>
      </c>
      <c r="N278">
        <v>-800</v>
      </c>
      <c r="O278">
        <v>5976</v>
      </c>
      <c r="P278">
        <v>6.5444741249999998</v>
      </c>
      <c r="Q278">
        <v>-110.2629929</v>
      </c>
      <c r="R278">
        <v>399851.875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91BA-8D9E-4E2D-8C50-3652BFCF2969}">
  <dimension ref="A1:L72"/>
  <sheetViews>
    <sheetView topLeftCell="D1" workbookViewId="0">
      <selection activeCell="G1" sqref="G1:L1048576"/>
    </sheetView>
  </sheetViews>
  <sheetFormatPr defaultRowHeight="15" x14ac:dyDescent="0.25"/>
  <cols>
    <col min="1" max="1" width="19.140625" bestFit="1" customWidth="1"/>
    <col min="2" max="2" width="19.5703125" bestFit="1" customWidth="1"/>
    <col min="3" max="3" width="17" bestFit="1" customWidth="1"/>
    <col min="4" max="4" width="18.28515625" bestFit="1" customWidth="1"/>
    <col min="5" max="5" width="17.7109375" bestFit="1" customWidth="1"/>
    <col min="6" max="6" width="15.5703125" bestFit="1" customWidth="1"/>
    <col min="7" max="7" width="26.42578125" bestFit="1" customWidth="1"/>
    <col min="8" max="8" width="20" bestFit="1" customWidth="1"/>
    <col min="9" max="9" width="26.42578125" bestFit="1" customWidth="1"/>
    <col min="10" max="10" width="20" bestFit="1" customWidth="1"/>
    <col min="11" max="11" width="26.28515625" bestFit="1" customWidth="1"/>
    <col min="12" max="12" width="1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2342</v>
      </c>
      <c r="B2">
        <v>49205</v>
      </c>
      <c r="C2">
        <v>33</v>
      </c>
      <c r="D2">
        <v>64</v>
      </c>
      <c r="E2">
        <v>1310</v>
      </c>
      <c r="F2">
        <v>0</v>
      </c>
      <c r="G2">
        <v>-1.4984239999999999E-3</v>
      </c>
      <c r="H2">
        <v>-3.7819149999999998E-3</v>
      </c>
      <c r="I2">
        <v>5.8400000000000003E-5</v>
      </c>
      <c r="J2">
        <v>6.3985589999999998E-3</v>
      </c>
      <c r="K2">
        <v>-5.1259620000000004E-3</v>
      </c>
      <c r="L2">
        <v>-2.8362869999999998E-2</v>
      </c>
    </row>
    <row r="3" spans="1:12" x14ac:dyDescent="0.25">
      <c r="A3">
        <v>2342</v>
      </c>
      <c r="B3">
        <v>49206</v>
      </c>
      <c r="C3">
        <v>33</v>
      </c>
      <c r="D3">
        <v>65</v>
      </c>
      <c r="E3">
        <v>1310</v>
      </c>
      <c r="F3">
        <v>0</v>
      </c>
      <c r="G3">
        <v>-1.432858E-3</v>
      </c>
      <c r="H3">
        <v>-3.0666589999999998E-3</v>
      </c>
      <c r="I3">
        <v>1.9315599999999999E-4</v>
      </c>
      <c r="J3">
        <v>6.4462419999999996E-3</v>
      </c>
      <c r="K3">
        <v>-4.7188619999999999E-3</v>
      </c>
      <c r="L3">
        <v>-2.7504562999999999E-2</v>
      </c>
    </row>
    <row r="4" spans="1:12" x14ac:dyDescent="0.25">
      <c r="A4">
        <v>2342</v>
      </c>
      <c r="B4">
        <v>49207</v>
      </c>
      <c r="C4">
        <v>33</v>
      </c>
      <c r="D4">
        <v>66</v>
      </c>
      <c r="E4">
        <v>1310</v>
      </c>
      <c r="F4">
        <v>0</v>
      </c>
      <c r="G4">
        <v>-1.4370310000000001E-3</v>
      </c>
      <c r="H4">
        <v>-2.9474499999999999E-3</v>
      </c>
      <c r="I4">
        <v>2.4560800000000002E-4</v>
      </c>
      <c r="J4">
        <v>5.8263539999999997E-3</v>
      </c>
      <c r="K4">
        <v>-4.8154219999999998E-3</v>
      </c>
      <c r="L4">
        <v>-2.7599931000000001E-2</v>
      </c>
    </row>
    <row r="5" spans="1:12" x14ac:dyDescent="0.25">
      <c r="A5">
        <v>2342</v>
      </c>
      <c r="B5">
        <v>49208</v>
      </c>
      <c r="C5">
        <v>33</v>
      </c>
      <c r="D5">
        <v>67</v>
      </c>
      <c r="E5">
        <v>1310</v>
      </c>
      <c r="F5">
        <v>0</v>
      </c>
      <c r="G5">
        <v>-1.367889E-3</v>
      </c>
      <c r="H5">
        <v>-3.2573939999999998E-3</v>
      </c>
      <c r="I5">
        <v>2.3488E-4</v>
      </c>
      <c r="J5">
        <v>5.9694049999999997E-3</v>
      </c>
      <c r="K5">
        <v>-4.3183190000000002E-3</v>
      </c>
      <c r="L5">
        <v>-2.6598573E-2</v>
      </c>
    </row>
    <row r="6" spans="1:12" x14ac:dyDescent="0.25">
      <c r="A6">
        <v>2342</v>
      </c>
      <c r="B6">
        <v>49209</v>
      </c>
      <c r="C6">
        <v>33</v>
      </c>
      <c r="D6">
        <v>68</v>
      </c>
      <c r="E6">
        <v>1310</v>
      </c>
      <c r="F6">
        <v>0</v>
      </c>
      <c r="G6">
        <v>-1.3649090000000001E-3</v>
      </c>
      <c r="H6">
        <v>-2.8520820000000001E-3</v>
      </c>
      <c r="I6">
        <v>3.0878900000000001E-4</v>
      </c>
      <c r="J6">
        <v>6.0170889999999998E-3</v>
      </c>
      <c r="K6">
        <v>-4.1633470000000004E-3</v>
      </c>
      <c r="L6">
        <v>-2.6693939999999999E-2</v>
      </c>
    </row>
    <row r="7" spans="1:12" x14ac:dyDescent="0.25">
      <c r="A7">
        <v>2342</v>
      </c>
      <c r="B7">
        <v>49210</v>
      </c>
      <c r="C7">
        <v>33</v>
      </c>
      <c r="D7">
        <v>69</v>
      </c>
      <c r="E7">
        <v>1310</v>
      </c>
      <c r="F7">
        <v>0</v>
      </c>
      <c r="G7">
        <v>-1.294576E-3</v>
      </c>
      <c r="H7">
        <v>-2.9474499999999999E-3</v>
      </c>
      <c r="I7">
        <v>3.3263100000000001E-4</v>
      </c>
      <c r="J7">
        <v>5.4448839999999997E-3</v>
      </c>
      <c r="K7">
        <v>-3.9755930000000004E-3</v>
      </c>
      <c r="L7">
        <v>-2.5597215E-2</v>
      </c>
    </row>
    <row r="8" spans="1:12" x14ac:dyDescent="0.25">
      <c r="A8">
        <v>2342</v>
      </c>
      <c r="B8">
        <v>49211</v>
      </c>
      <c r="C8">
        <v>33</v>
      </c>
      <c r="D8">
        <v>70</v>
      </c>
      <c r="E8">
        <v>1310</v>
      </c>
      <c r="F8">
        <v>0</v>
      </c>
      <c r="G8">
        <v>-1.299344E-3</v>
      </c>
      <c r="H8">
        <v>-4.7594309999999997E-3</v>
      </c>
      <c r="I8">
        <v>1.06134E-4</v>
      </c>
      <c r="J8">
        <v>5.6356189999999997E-3</v>
      </c>
      <c r="K8">
        <v>-3.7145239999999999E-3</v>
      </c>
      <c r="L8">
        <v>-2.5644897999999999E-2</v>
      </c>
    </row>
    <row r="9" spans="1:12" x14ac:dyDescent="0.25">
      <c r="A9">
        <v>2342</v>
      </c>
      <c r="B9">
        <v>49212</v>
      </c>
      <c r="C9">
        <v>33</v>
      </c>
      <c r="D9">
        <v>71</v>
      </c>
      <c r="E9">
        <v>1310</v>
      </c>
      <c r="F9">
        <v>0</v>
      </c>
      <c r="G9">
        <v>-1.212917E-3</v>
      </c>
      <c r="H9">
        <v>-2.7805569999999999E-3</v>
      </c>
      <c r="I9">
        <v>3.86275E-4</v>
      </c>
      <c r="J9">
        <v>5.6833029999999998E-3</v>
      </c>
      <c r="K9">
        <v>-3.3229219999999999E-3</v>
      </c>
      <c r="L9">
        <v>-2.4548173E-2</v>
      </c>
    </row>
    <row r="10" spans="1:12" x14ac:dyDescent="0.25">
      <c r="A10">
        <v>2342</v>
      </c>
      <c r="B10">
        <v>49213</v>
      </c>
      <c r="C10">
        <v>33</v>
      </c>
      <c r="D10">
        <v>72</v>
      </c>
      <c r="E10">
        <v>1310</v>
      </c>
      <c r="F10">
        <v>0</v>
      </c>
      <c r="G10">
        <v>-1.2170900000000001E-3</v>
      </c>
      <c r="H10">
        <v>-2.6136639999999999E-3</v>
      </c>
      <c r="I10">
        <v>4.3753500000000002E-4</v>
      </c>
      <c r="J10">
        <v>5.1110979999999997E-3</v>
      </c>
      <c r="K10">
        <v>-3.43319E-3</v>
      </c>
      <c r="L10">
        <v>-2.4643539999999999E-2</v>
      </c>
    </row>
    <row r="11" spans="1:12" x14ac:dyDescent="0.25">
      <c r="A11">
        <v>2342</v>
      </c>
      <c r="B11">
        <v>49214</v>
      </c>
      <c r="C11">
        <v>33</v>
      </c>
      <c r="D11">
        <v>73</v>
      </c>
      <c r="E11">
        <v>1310</v>
      </c>
      <c r="F11">
        <v>0</v>
      </c>
      <c r="G11">
        <v>-1.139604E-3</v>
      </c>
      <c r="H11">
        <v>-4.0441749999999997E-3</v>
      </c>
      <c r="I11">
        <v>2.5633699999999998E-4</v>
      </c>
      <c r="J11">
        <v>5.3495169999999998E-3</v>
      </c>
      <c r="K11">
        <v>-2.9337030000000002E-3</v>
      </c>
      <c r="L11">
        <v>-2.3499130999999999E-2</v>
      </c>
    </row>
    <row r="12" spans="1:12" x14ac:dyDescent="0.25">
      <c r="A12">
        <v>2342</v>
      </c>
      <c r="B12">
        <v>49215</v>
      </c>
      <c r="C12">
        <v>33</v>
      </c>
      <c r="D12">
        <v>74</v>
      </c>
      <c r="E12">
        <v>1310</v>
      </c>
      <c r="F12">
        <v>0</v>
      </c>
      <c r="G12">
        <v>-1.1354309999999999E-3</v>
      </c>
      <c r="H12">
        <v>-2.4229289999999999E-3</v>
      </c>
      <c r="I12">
        <v>4.8164300000000002E-4</v>
      </c>
      <c r="J12">
        <v>5.3972009999999999E-3</v>
      </c>
      <c r="K12">
        <v>-2.8115140000000002E-3</v>
      </c>
      <c r="L12">
        <v>-2.3618340000000002E-2</v>
      </c>
    </row>
    <row r="13" spans="1:12" x14ac:dyDescent="0.25">
      <c r="A13">
        <v>2342</v>
      </c>
      <c r="B13">
        <v>49216</v>
      </c>
      <c r="C13">
        <v>33</v>
      </c>
      <c r="D13">
        <v>75</v>
      </c>
      <c r="E13">
        <v>1310</v>
      </c>
      <c r="F13">
        <v>0</v>
      </c>
      <c r="G13">
        <v>-1.0722500000000001E-3</v>
      </c>
      <c r="H13">
        <v>-1.8984080000000001E-3</v>
      </c>
      <c r="I13">
        <v>5.6270500000000004E-4</v>
      </c>
      <c r="J13">
        <v>4.8249959999999998E-3</v>
      </c>
      <c r="K13">
        <v>-2.691709E-3</v>
      </c>
      <c r="L13">
        <v>-2.2521614999999998E-2</v>
      </c>
    </row>
    <row r="14" spans="1:12" x14ac:dyDescent="0.25">
      <c r="A14">
        <v>2342</v>
      </c>
      <c r="B14">
        <v>49217</v>
      </c>
      <c r="C14">
        <v>33</v>
      </c>
      <c r="D14">
        <v>76</v>
      </c>
      <c r="E14">
        <v>1310</v>
      </c>
      <c r="F14">
        <v>0</v>
      </c>
      <c r="G14">
        <v>-9.9655199999999994E-4</v>
      </c>
      <c r="H14">
        <v>-1.803041E-3</v>
      </c>
      <c r="I14">
        <v>5.6866600000000001E-4</v>
      </c>
      <c r="J14">
        <v>5.0157309999999998E-3</v>
      </c>
      <c r="K14">
        <v>-2.2613630000000002E-3</v>
      </c>
      <c r="L14">
        <v>-2.1424889999999999E-2</v>
      </c>
    </row>
    <row r="15" spans="1:12" x14ac:dyDescent="0.25">
      <c r="A15">
        <v>2342</v>
      </c>
      <c r="B15">
        <v>49218</v>
      </c>
      <c r="C15">
        <v>33</v>
      </c>
      <c r="D15">
        <v>77</v>
      </c>
      <c r="E15">
        <v>1310</v>
      </c>
      <c r="F15">
        <v>0</v>
      </c>
      <c r="G15">
        <v>-9.8463099999999992E-4</v>
      </c>
      <c r="H15">
        <v>-2.8282400000000001E-3</v>
      </c>
      <c r="I15">
        <v>4.4707200000000002E-4</v>
      </c>
      <c r="J15">
        <v>5.1110979999999997E-3</v>
      </c>
      <c r="K15">
        <v>-2.0962580000000001E-3</v>
      </c>
      <c r="L15">
        <v>-2.1520257000000001E-2</v>
      </c>
    </row>
    <row r="16" spans="1:12" x14ac:dyDescent="0.25">
      <c r="A16">
        <v>2342</v>
      </c>
      <c r="B16">
        <v>49219</v>
      </c>
      <c r="C16">
        <v>33</v>
      </c>
      <c r="D16">
        <v>78</v>
      </c>
      <c r="E16">
        <v>1310</v>
      </c>
      <c r="F16">
        <v>0</v>
      </c>
      <c r="G16">
        <v>-9.2621900000000004E-4</v>
      </c>
      <c r="H16">
        <v>-1.969934E-3</v>
      </c>
      <c r="I16">
        <v>5.5555299999999997E-4</v>
      </c>
      <c r="J16">
        <v>4.5865769999999997E-3</v>
      </c>
      <c r="K16">
        <v>-2.000295E-3</v>
      </c>
      <c r="L16">
        <v>-2.0423532000000001E-2</v>
      </c>
    </row>
    <row r="17" spans="1:12" x14ac:dyDescent="0.25">
      <c r="A17">
        <v>2342</v>
      </c>
      <c r="B17">
        <v>49220</v>
      </c>
      <c r="C17">
        <v>33</v>
      </c>
      <c r="D17">
        <v>79</v>
      </c>
      <c r="E17">
        <v>1310</v>
      </c>
      <c r="F17">
        <v>0</v>
      </c>
      <c r="G17">
        <v>-8.68402E-4</v>
      </c>
      <c r="H17">
        <v>-1.683831E-3</v>
      </c>
      <c r="I17">
        <v>5.9012300000000001E-4</v>
      </c>
      <c r="J17">
        <v>4.1097399999999997E-3</v>
      </c>
      <c r="K17">
        <v>-1.901947E-3</v>
      </c>
      <c r="L17">
        <v>-1.9302963999999999E-2</v>
      </c>
    </row>
    <row r="18" spans="1:12" x14ac:dyDescent="0.25">
      <c r="A18">
        <v>2342</v>
      </c>
      <c r="B18">
        <v>49221</v>
      </c>
      <c r="C18">
        <v>33</v>
      </c>
      <c r="D18">
        <v>80</v>
      </c>
      <c r="E18">
        <v>1310</v>
      </c>
      <c r="F18">
        <v>0</v>
      </c>
      <c r="G18">
        <v>-7.8376400000000005E-4</v>
      </c>
      <c r="H18">
        <v>-2.3990869999999998E-3</v>
      </c>
      <c r="I18">
        <v>4.79259E-4</v>
      </c>
      <c r="J18">
        <v>4.395843E-3</v>
      </c>
      <c r="K18">
        <v>-1.478158E-3</v>
      </c>
      <c r="L18">
        <v>-1.8182396999999999E-2</v>
      </c>
    </row>
    <row r="19" spans="1:12" x14ac:dyDescent="0.25">
      <c r="A19">
        <v>2342</v>
      </c>
      <c r="B19">
        <v>49222</v>
      </c>
      <c r="C19">
        <v>33</v>
      </c>
      <c r="D19">
        <v>81</v>
      </c>
      <c r="E19">
        <v>1310</v>
      </c>
      <c r="F19">
        <v>0</v>
      </c>
      <c r="G19">
        <v>-7.9270499999999999E-4</v>
      </c>
      <c r="H19">
        <v>-1.254678E-3</v>
      </c>
      <c r="I19">
        <v>6.2231000000000005E-4</v>
      </c>
      <c r="J19">
        <v>4.4912099999999998E-3</v>
      </c>
      <c r="K19">
        <v>-1.354776E-3</v>
      </c>
      <c r="L19">
        <v>-1.8301606000000002E-2</v>
      </c>
    </row>
    <row r="20" spans="1:12" x14ac:dyDescent="0.25">
      <c r="A20">
        <v>2342</v>
      </c>
      <c r="B20">
        <v>49223</v>
      </c>
      <c r="C20">
        <v>33</v>
      </c>
      <c r="D20">
        <v>82</v>
      </c>
      <c r="E20">
        <v>1310</v>
      </c>
      <c r="F20">
        <v>0</v>
      </c>
      <c r="G20">
        <v>-7.34292E-4</v>
      </c>
      <c r="H20">
        <v>-1.254678E-3</v>
      </c>
      <c r="I20">
        <v>6.08005E-4</v>
      </c>
      <c r="J20">
        <v>4.062057E-3</v>
      </c>
      <c r="K20">
        <v>-1.27133E-3</v>
      </c>
      <c r="L20">
        <v>-1.7181038999999999E-2</v>
      </c>
    </row>
    <row r="21" spans="1:12" x14ac:dyDescent="0.25">
      <c r="A21">
        <v>2342</v>
      </c>
      <c r="B21">
        <v>49224</v>
      </c>
      <c r="C21">
        <v>33</v>
      </c>
      <c r="D21">
        <v>83</v>
      </c>
      <c r="E21">
        <v>1310</v>
      </c>
      <c r="F21">
        <v>0</v>
      </c>
      <c r="G21">
        <v>-6.5263400000000003E-4</v>
      </c>
      <c r="H21">
        <v>-1.683831E-3</v>
      </c>
      <c r="I21">
        <v>5.2455799999999995E-4</v>
      </c>
      <c r="J21">
        <v>4.395843E-3</v>
      </c>
      <c r="K21">
        <v>-8.72575E-4</v>
      </c>
      <c r="L21">
        <v>-1.6084312999999999E-2</v>
      </c>
    </row>
    <row r="22" spans="1:12" x14ac:dyDescent="0.25">
      <c r="A22">
        <v>2342</v>
      </c>
      <c r="B22">
        <v>49225</v>
      </c>
      <c r="C22">
        <v>33</v>
      </c>
      <c r="D22">
        <v>84</v>
      </c>
      <c r="E22">
        <v>1310</v>
      </c>
      <c r="F22">
        <v>0</v>
      </c>
      <c r="G22">
        <v>-5.9898899999999997E-4</v>
      </c>
      <c r="H22">
        <v>-7.5399899999999999E-4</v>
      </c>
      <c r="I22">
        <v>5.9608399999999998E-4</v>
      </c>
      <c r="J22">
        <v>4.5865769999999997E-3</v>
      </c>
      <c r="K22">
        <v>-5.5190199999999995E-4</v>
      </c>
      <c r="L22">
        <v>-1.4987588E-2</v>
      </c>
    </row>
    <row r="23" spans="1:12" x14ac:dyDescent="0.25">
      <c r="A23">
        <v>2342</v>
      </c>
      <c r="B23">
        <v>49226</v>
      </c>
      <c r="C23">
        <v>33</v>
      </c>
      <c r="D23">
        <v>85</v>
      </c>
      <c r="E23">
        <v>1310</v>
      </c>
      <c r="F23">
        <v>0</v>
      </c>
      <c r="G23">
        <v>-6.0495000000000004E-4</v>
      </c>
      <c r="H23">
        <v>-3.9637100000000002E-4</v>
      </c>
      <c r="I23">
        <v>6.4257500000000005E-4</v>
      </c>
      <c r="J23">
        <v>4.6342609999999998E-3</v>
      </c>
      <c r="K23">
        <v>-4.7024300000000002E-4</v>
      </c>
      <c r="L23">
        <v>-1.5130639E-2</v>
      </c>
    </row>
    <row r="24" spans="1:12" x14ac:dyDescent="0.25">
      <c r="A24">
        <v>2342</v>
      </c>
      <c r="B24">
        <v>49227</v>
      </c>
      <c r="C24">
        <v>33</v>
      </c>
      <c r="D24">
        <v>86</v>
      </c>
      <c r="E24">
        <v>1310</v>
      </c>
      <c r="F24">
        <v>0</v>
      </c>
      <c r="G24">
        <v>-5.66207E-4</v>
      </c>
      <c r="H24">
        <v>-3.0428170000000002E-3</v>
      </c>
      <c r="I24">
        <v>3.4574399999999999E-4</v>
      </c>
      <c r="J24">
        <v>4.3004749999999998E-3</v>
      </c>
      <c r="K24">
        <v>-5.36405E-4</v>
      </c>
      <c r="L24">
        <v>-1.5202165E-2</v>
      </c>
    </row>
    <row r="25" spans="1:12" x14ac:dyDescent="0.25">
      <c r="A25">
        <v>2342</v>
      </c>
      <c r="B25">
        <v>49228</v>
      </c>
      <c r="C25">
        <v>33</v>
      </c>
      <c r="D25">
        <v>87</v>
      </c>
      <c r="E25">
        <v>1310</v>
      </c>
      <c r="F25">
        <v>0</v>
      </c>
      <c r="G25">
        <v>-5.4474899999999997E-4</v>
      </c>
      <c r="H25">
        <v>-8.9705000000000004E-4</v>
      </c>
      <c r="I25">
        <v>5.6747299999999998E-4</v>
      </c>
      <c r="J25">
        <v>3.9190049999999997E-3</v>
      </c>
      <c r="K25">
        <v>-4.9229700000000005E-4</v>
      </c>
      <c r="L25">
        <v>-1.4105439000000001E-2</v>
      </c>
    </row>
    <row r="26" spans="1:12" x14ac:dyDescent="0.25">
      <c r="A26">
        <v>2342</v>
      </c>
      <c r="B26">
        <v>49229</v>
      </c>
      <c r="C26">
        <v>33</v>
      </c>
      <c r="D26">
        <v>88</v>
      </c>
      <c r="E26">
        <v>1310</v>
      </c>
      <c r="F26">
        <v>0</v>
      </c>
      <c r="G26">
        <v>-4.8812500000000001E-4</v>
      </c>
      <c r="H26">
        <v>-3.9637100000000002E-4</v>
      </c>
      <c r="I26">
        <v>5.8058600000000001E-4</v>
      </c>
      <c r="J26">
        <v>4.1574239999999998E-3</v>
      </c>
      <c r="K26">
        <v>-1.7996900000000001E-4</v>
      </c>
      <c r="L26">
        <v>-1.3008713999999999E-2</v>
      </c>
    </row>
    <row r="27" spans="1:12" x14ac:dyDescent="0.25">
      <c r="A27">
        <v>2342</v>
      </c>
      <c r="B27">
        <v>49230</v>
      </c>
      <c r="C27">
        <v>33</v>
      </c>
      <c r="D27">
        <v>89</v>
      </c>
      <c r="E27">
        <v>1310</v>
      </c>
      <c r="F27">
        <v>0</v>
      </c>
      <c r="G27">
        <v>-4.0944700000000001E-4</v>
      </c>
      <c r="H27">
        <v>-6.3806770000000004E-3</v>
      </c>
      <c r="I27">
        <v>-9.59E-5</v>
      </c>
      <c r="J27">
        <v>4.4912099999999998E-3</v>
      </c>
      <c r="K27">
        <v>3.82E-5</v>
      </c>
      <c r="L27">
        <v>-1.3056397000000001E-2</v>
      </c>
    </row>
    <row r="28" spans="1:12" x14ac:dyDescent="0.25">
      <c r="A28">
        <v>2342</v>
      </c>
      <c r="B28">
        <v>49231</v>
      </c>
      <c r="C28">
        <v>33</v>
      </c>
      <c r="D28">
        <v>90</v>
      </c>
      <c r="E28">
        <v>1310</v>
      </c>
      <c r="F28">
        <v>0</v>
      </c>
      <c r="G28">
        <v>-4.5832199999999999E-4</v>
      </c>
      <c r="H28">
        <v>-1.659989E-3</v>
      </c>
      <c r="I28">
        <v>4.4230400000000003E-4</v>
      </c>
      <c r="J28">
        <v>4.2051079999999999E-3</v>
      </c>
      <c r="K28">
        <v>-1.02483E-4</v>
      </c>
      <c r="L28">
        <v>-1.3151764999999999E-2</v>
      </c>
    </row>
    <row r="29" spans="1:12" x14ac:dyDescent="0.25">
      <c r="A29">
        <v>2342</v>
      </c>
      <c r="B29">
        <v>49232</v>
      </c>
      <c r="C29">
        <v>33</v>
      </c>
      <c r="D29">
        <v>91</v>
      </c>
      <c r="E29">
        <v>1310</v>
      </c>
      <c r="F29">
        <v>0</v>
      </c>
      <c r="G29">
        <v>-4.3150000000000003E-4</v>
      </c>
      <c r="H29">
        <v>-4.9173800000000003E-4</v>
      </c>
      <c r="I29">
        <v>5.3767099999999998E-4</v>
      </c>
      <c r="J29">
        <v>3.871322E-3</v>
      </c>
      <c r="K29">
        <v>-5.5999999999999999E-5</v>
      </c>
      <c r="L29">
        <v>-1.2055039E-2</v>
      </c>
    </row>
    <row r="30" spans="1:12" x14ac:dyDescent="0.25">
      <c r="A30">
        <v>2342</v>
      </c>
      <c r="B30">
        <v>49233</v>
      </c>
      <c r="C30">
        <v>33</v>
      </c>
      <c r="D30">
        <v>92</v>
      </c>
      <c r="E30">
        <v>1310</v>
      </c>
      <c r="F30">
        <v>0</v>
      </c>
      <c r="G30">
        <v>-2.8964099999999999E-4</v>
      </c>
      <c r="H30">
        <v>-6.4522030000000001E-3</v>
      </c>
      <c r="I30">
        <v>-1.50762E-4</v>
      </c>
      <c r="J30">
        <v>3.7759540000000002E-3</v>
      </c>
      <c r="K30">
        <v>1.29975E-4</v>
      </c>
      <c r="L30">
        <v>-1.0886788E-2</v>
      </c>
    </row>
    <row r="31" spans="1:12" x14ac:dyDescent="0.25">
      <c r="A31">
        <v>2342</v>
      </c>
      <c r="B31">
        <v>49234</v>
      </c>
      <c r="C31">
        <v>33</v>
      </c>
      <c r="D31">
        <v>93</v>
      </c>
      <c r="E31">
        <v>1310</v>
      </c>
      <c r="F31">
        <v>0</v>
      </c>
      <c r="G31">
        <v>-2.9679400000000002E-4</v>
      </c>
      <c r="H31">
        <v>-1.5884639999999999E-3</v>
      </c>
      <c r="I31">
        <v>3.3501499999999998E-4</v>
      </c>
      <c r="J31">
        <v>3.5852190000000002E-3</v>
      </c>
      <c r="K31">
        <v>1.5024099999999999E-4</v>
      </c>
      <c r="L31">
        <v>-9.8615879999999993E-3</v>
      </c>
    </row>
    <row r="32" spans="1:12" x14ac:dyDescent="0.25">
      <c r="A32">
        <v>2342</v>
      </c>
      <c r="B32">
        <v>49235</v>
      </c>
      <c r="C32">
        <v>33</v>
      </c>
      <c r="D32">
        <v>94</v>
      </c>
      <c r="E32">
        <v>1310</v>
      </c>
      <c r="F32">
        <v>0</v>
      </c>
      <c r="G32">
        <v>-2.9202600000000003E-4</v>
      </c>
      <c r="H32">
        <v>-3.0100299999999999E-4</v>
      </c>
      <c r="I32">
        <v>4.3515099999999999E-4</v>
      </c>
      <c r="J32">
        <v>3.3468009999999999E-3</v>
      </c>
      <c r="K32">
        <v>1.7765899999999999E-4</v>
      </c>
      <c r="L32">
        <v>-8.97944E-3</v>
      </c>
    </row>
    <row r="33" spans="1:12" x14ac:dyDescent="0.25">
      <c r="A33">
        <v>2342</v>
      </c>
      <c r="B33">
        <v>49236</v>
      </c>
      <c r="C33">
        <v>33</v>
      </c>
      <c r="D33">
        <v>95</v>
      </c>
      <c r="E33">
        <v>1310</v>
      </c>
      <c r="F33">
        <v>0</v>
      </c>
      <c r="G33">
        <v>-1.5493500000000001E-4</v>
      </c>
      <c r="H33">
        <v>-4.9740080000000002E-3</v>
      </c>
      <c r="I33">
        <v>-8.0400000000000003E-5</v>
      </c>
      <c r="J33">
        <v>3.2514330000000002E-3</v>
      </c>
      <c r="K33">
        <v>3.0640499999999999E-4</v>
      </c>
      <c r="L33">
        <v>-8.1688170000000001E-3</v>
      </c>
    </row>
    <row r="34" spans="1:12" x14ac:dyDescent="0.25">
      <c r="A34">
        <v>2342</v>
      </c>
      <c r="B34">
        <v>49237</v>
      </c>
      <c r="C34">
        <v>33</v>
      </c>
      <c r="D34">
        <v>96</v>
      </c>
      <c r="E34">
        <v>1310</v>
      </c>
      <c r="F34">
        <v>0</v>
      </c>
      <c r="G34">
        <v>-2.31229E-4</v>
      </c>
      <c r="H34">
        <v>-1.27852E-3</v>
      </c>
      <c r="I34">
        <v>3.0282900000000001E-4</v>
      </c>
      <c r="J34">
        <v>3.1083819999999998E-3</v>
      </c>
      <c r="K34">
        <v>2.0746100000000001E-4</v>
      </c>
      <c r="L34">
        <v>-8.2403419999999995E-3</v>
      </c>
    </row>
    <row r="35" spans="1:12" x14ac:dyDescent="0.25">
      <c r="A35">
        <v>2342</v>
      </c>
      <c r="B35">
        <v>49238</v>
      </c>
      <c r="C35">
        <v>33</v>
      </c>
      <c r="D35">
        <v>97</v>
      </c>
      <c r="E35">
        <v>1310</v>
      </c>
      <c r="F35">
        <v>0</v>
      </c>
      <c r="G35">
        <v>-2.5864699999999998E-4</v>
      </c>
      <c r="H35">
        <v>-6.1094800000000005E-4</v>
      </c>
      <c r="I35">
        <v>3.7912299999999998E-4</v>
      </c>
      <c r="J35">
        <v>2.869964E-3</v>
      </c>
      <c r="K35">
        <v>1.2520700000000001E-4</v>
      </c>
      <c r="L35">
        <v>-8.3357099999999996E-3</v>
      </c>
    </row>
    <row r="36" spans="1:12" x14ac:dyDescent="0.25">
      <c r="A36">
        <v>2342</v>
      </c>
      <c r="B36">
        <v>49239</v>
      </c>
      <c r="C36">
        <v>33</v>
      </c>
      <c r="D36">
        <v>98</v>
      </c>
      <c r="E36">
        <v>1310</v>
      </c>
      <c r="F36">
        <v>0</v>
      </c>
      <c r="G36">
        <v>-2.03215E-4</v>
      </c>
      <c r="H36">
        <v>-1.111627E-3</v>
      </c>
      <c r="I36">
        <v>2.8613999999999999E-4</v>
      </c>
      <c r="J36">
        <v>2.7269120000000002E-3</v>
      </c>
      <c r="K36">
        <v>1.8481199999999999E-4</v>
      </c>
      <c r="L36">
        <v>-7.4297190000000004E-3</v>
      </c>
    </row>
    <row r="37" spans="1:12" x14ac:dyDescent="0.25">
      <c r="A37">
        <v>2342</v>
      </c>
      <c r="B37">
        <v>49240</v>
      </c>
      <c r="C37">
        <v>33</v>
      </c>
      <c r="D37">
        <v>99</v>
      </c>
      <c r="E37">
        <v>1310</v>
      </c>
      <c r="F37">
        <v>0</v>
      </c>
      <c r="G37">
        <v>-1.9189000000000001E-4</v>
      </c>
      <c r="H37">
        <v>-3.9637100000000002E-4</v>
      </c>
      <c r="I37">
        <v>3.21902E-4</v>
      </c>
      <c r="J37">
        <v>2.536178E-3</v>
      </c>
      <c r="K37">
        <v>2.15806E-4</v>
      </c>
      <c r="L37">
        <v>-6.6429380000000001E-3</v>
      </c>
    </row>
    <row r="38" spans="1:12" x14ac:dyDescent="0.25">
      <c r="A38">
        <v>2342</v>
      </c>
      <c r="B38">
        <v>49241</v>
      </c>
      <c r="C38">
        <v>33</v>
      </c>
      <c r="D38">
        <v>100</v>
      </c>
      <c r="E38">
        <v>1310</v>
      </c>
      <c r="F38">
        <v>0</v>
      </c>
      <c r="G38">
        <v>-3.9900000000000001E-5</v>
      </c>
      <c r="H38">
        <v>-4.354119E-3</v>
      </c>
      <c r="I38">
        <v>-1.12019E-4</v>
      </c>
      <c r="J38">
        <v>3.1083819999999998E-3</v>
      </c>
      <c r="K38">
        <v>5.8058600000000001E-4</v>
      </c>
      <c r="L38">
        <v>-5.9515239999999997E-3</v>
      </c>
    </row>
    <row r="39" spans="1:12" x14ac:dyDescent="0.25">
      <c r="A39">
        <v>2342</v>
      </c>
      <c r="B39">
        <v>49242</v>
      </c>
      <c r="C39">
        <v>33</v>
      </c>
      <c r="D39">
        <v>101</v>
      </c>
      <c r="E39">
        <v>1310</v>
      </c>
      <c r="F39">
        <v>0</v>
      </c>
      <c r="G39">
        <v>-1.09039E-4</v>
      </c>
      <c r="H39">
        <v>-1.0401010000000001E-3</v>
      </c>
      <c r="I39">
        <v>2.1103800000000001E-4</v>
      </c>
      <c r="J39">
        <v>3.4898519999999999E-3</v>
      </c>
      <c r="K39">
        <v>7.0694799999999999E-4</v>
      </c>
      <c r="L39">
        <v>-6.0468910000000004E-3</v>
      </c>
    </row>
    <row r="40" spans="1:12" x14ac:dyDescent="0.25">
      <c r="A40">
        <v>2342</v>
      </c>
      <c r="B40">
        <v>49243</v>
      </c>
      <c r="C40">
        <v>33</v>
      </c>
      <c r="D40">
        <v>102</v>
      </c>
      <c r="E40">
        <v>1310</v>
      </c>
      <c r="F40">
        <v>0</v>
      </c>
      <c r="G40">
        <v>-1.37649E-4</v>
      </c>
      <c r="H40">
        <v>-6.2600000000000004E-5</v>
      </c>
      <c r="I40">
        <v>3.07597E-4</v>
      </c>
      <c r="J40">
        <v>3.6805869999999999E-3</v>
      </c>
      <c r="K40">
        <v>7.8920300000000004E-4</v>
      </c>
      <c r="L40">
        <v>-6.1422589999999997E-3</v>
      </c>
    </row>
    <row r="41" spans="1:12" x14ac:dyDescent="0.25">
      <c r="A41">
        <v>2342</v>
      </c>
      <c r="B41">
        <v>49244</v>
      </c>
      <c r="C41">
        <v>33</v>
      </c>
      <c r="D41">
        <v>103</v>
      </c>
      <c r="E41">
        <v>1310</v>
      </c>
      <c r="F41">
        <v>0</v>
      </c>
      <c r="G41">
        <v>-9.7100000000000002E-5</v>
      </c>
      <c r="H41">
        <v>-1.516938E-3</v>
      </c>
      <c r="I41">
        <v>1.69314E-4</v>
      </c>
      <c r="J41">
        <v>3.5852190000000002E-3</v>
      </c>
      <c r="K41">
        <v>7.5105599999999995E-4</v>
      </c>
      <c r="L41">
        <v>-6.2376259999999996E-3</v>
      </c>
    </row>
    <row r="42" spans="1:12" x14ac:dyDescent="0.25">
      <c r="A42">
        <v>2342</v>
      </c>
      <c r="B42">
        <v>49245</v>
      </c>
      <c r="C42">
        <v>33</v>
      </c>
      <c r="D42">
        <v>104</v>
      </c>
      <c r="E42">
        <v>1310</v>
      </c>
      <c r="F42">
        <v>0</v>
      </c>
      <c r="G42">
        <v>-1.09635E-4</v>
      </c>
      <c r="H42">
        <v>1.04308E-4</v>
      </c>
      <c r="I42">
        <v>2.8733200000000001E-4</v>
      </c>
      <c r="J42">
        <v>3.6805869999999999E-3</v>
      </c>
      <c r="K42">
        <v>8.7861000000000005E-4</v>
      </c>
      <c r="L42">
        <v>-5.4985279999999999E-3</v>
      </c>
    </row>
    <row r="43" spans="1:12" x14ac:dyDescent="0.25">
      <c r="A43">
        <v>2342</v>
      </c>
      <c r="B43">
        <v>49246</v>
      </c>
      <c r="C43">
        <v>33</v>
      </c>
      <c r="D43">
        <v>105</v>
      </c>
      <c r="E43">
        <v>1310</v>
      </c>
      <c r="F43">
        <v>0</v>
      </c>
      <c r="G43">
        <v>3.2199999999999997E-5</v>
      </c>
      <c r="H43">
        <v>-3.6388639999999999E-3</v>
      </c>
      <c r="I43">
        <v>-1.12019E-4</v>
      </c>
      <c r="J43">
        <v>3.6805869999999999E-3</v>
      </c>
      <c r="K43">
        <v>9.7993800000000008E-4</v>
      </c>
      <c r="L43">
        <v>-4.830956E-3</v>
      </c>
    </row>
    <row r="44" spans="1:12" x14ac:dyDescent="0.25">
      <c r="A44">
        <v>2342</v>
      </c>
      <c r="B44">
        <v>49247</v>
      </c>
      <c r="C44">
        <v>33</v>
      </c>
      <c r="D44">
        <v>106</v>
      </c>
      <c r="E44">
        <v>1310</v>
      </c>
      <c r="F44">
        <v>0</v>
      </c>
      <c r="G44">
        <v>-5.0599999999999997E-5</v>
      </c>
      <c r="H44">
        <v>-8.2552400000000001E-4</v>
      </c>
      <c r="I44">
        <v>1.6573799999999999E-4</v>
      </c>
      <c r="J44">
        <v>3.5852190000000002E-3</v>
      </c>
      <c r="K44">
        <v>9.2152499999999997E-4</v>
      </c>
      <c r="L44">
        <v>-4.9263240000000002E-3</v>
      </c>
    </row>
    <row r="45" spans="1:12" x14ac:dyDescent="0.25">
      <c r="A45">
        <v>2342</v>
      </c>
      <c r="B45">
        <v>49248</v>
      </c>
      <c r="C45">
        <v>33</v>
      </c>
      <c r="D45">
        <v>107</v>
      </c>
      <c r="E45">
        <v>1310</v>
      </c>
      <c r="F45">
        <v>0</v>
      </c>
      <c r="G45">
        <v>-9.4099999999999997E-5</v>
      </c>
      <c r="H45">
        <v>1.99676E-4</v>
      </c>
      <c r="I45">
        <v>2.7064199999999997E-4</v>
      </c>
      <c r="J45">
        <v>3.4421679999999998E-3</v>
      </c>
      <c r="K45">
        <v>8.5834400000000003E-4</v>
      </c>
      <c r="L45">
        <v>-5.021691E-3</v>
      </c>
    </row>
    <row r="46" spans="1:12" x14ac:dyDescent="0.25">
      <c r="A46">
        <v>2342</v>
      </c>
      <c r="B46">
        <v>49249</v>
      </c>
      <c r="C46">
        <v>33</v>
      </c>
      <c r="D46">
        <v>108</v>
      </c>
      <c r="E46">
        <v>1310</v>
      </c>
      <c r="F46">
        <v>0</v>
      </c>
      <c r="G46">
        <v>-9.3499999999999996E-5</v>
      </c>
      <c r="H46">
        <v>-1.49E-5</v>
      </c>
      <c r="I46">
        <v>2.5633699999999998E-4</v>
      </c>
      <c r="J46">
        <v>3.2991169999999998E-3</v>
      </c>
      <c r="K46">
        <v>8.0350799999999998E-4</v>
      </c>
      <c r="L46">
        <v>-5.1170590000000002E-3</v>
      </c>
    </row>
    <row r="47" spans="1:12" x14ac:dyDescent="0.25">
      <c r="A47">
        <v>2342</v>
      </c>
      <c r="B47">
        <v>49250</v>
      </c>
      <c r="C47">
        <v>33</v>
      </c>
      <c r="D47">
        <v>109</v>
      </c>
      <c r="E47">
        <v>1310</v>
      </c>
      <c r="F47">
        <v>0</v>
      </c>
      <c r="G47">
        <v>-1.14404E-4</v>
      </c>
      <c r="H47">
        <v>3.4272699999999997E-4</v>
      </c>
      <c r="I47">
        <v>2.9806E-4</v>
      </c>
      <c r="J47">
        <v>3.1560659999999999E-3</v>
      </c>
      <c r="K47">
        <v>7.3913500000000003E-4</v>
      </c>
      <c r="L47">
        <v>-5.1885840000000004E-3</v>
      </c>
    </row>
    <row r="48" spans="1:12" x14ac:dyDescent="0.25">
      <c r="A48">
        <v>2342</v>
      </c>
      <c r="B48">
        <v>49251</v>
      </c>
      <c r="C48">
        <v>33</v>
      </c>
      <c r="D48">
        <v>110</v>
      </c>
      <c r="E48">
        <v>1310</v>
      </c>
      <c r="F48">
        <v>0</v>
      </c>
      <c r="G48">
        <v>-9.8900000000000005E-5</v>
      </c>
      <c r="H48">
        <v>6.7651300000000001E-4</v>
      </c>
      <c r="I48">
        <v>2.9448400000000002E-4</v>
      </c>
      <c r="J48">
        <v>3.013015E-3</v>
      </c>
      <c r="K48">
        <v>7.6774500000000002E-4</v>
      </c>
      <c r="L48">
        <v>-4.4494870000000002E-3</v>
      </c>
    </row>
    <row r="49" spans="1:12" x14ac:dyDescent="0.25">
      <c r="A49">
        <v>2342</v>
      </c>
      <c r="B49">
        <v>49252</v>
      </c>
      <c r="C49">
        <v>33</v>
      </c>
      <c r="D49">
        <v>111</v>
      </c>
      <c r="E49">
        <v>1310</v>
      </c>
      <c r="F49">
        <v>0</v>
      </c>
      <c r="G49">
        <v>-9.1199999999999994E-5</v>
      </c>
      <c r="H49">
        <v>1.0579820000000001E-3</v>
      </c>
      <c r="I49">
        <v>2.9567599999999998E-4</v>
      </c>
      <c r="J49">
        <v>2.869964E-3</v>
      </c>
      <c r="K49">
        <v>7.8204999999999995E-4</v>
      </c>
      <c r="L49">
        <v>-3.8057569999999999E-3</v>
      </c>
    </row>
    <row r="50" spans="1:12" x14ac:dyDescent="0.25">
      <c r="A50">
        <v>2342</v>
      </c>
      <c r="B50">
        <v>49253</v>
      </c>
      <c r="C50">
        <v>33</v>
      </c>
      <c r="D50">
        <v>112</v>
      </c>
      <c r="E50">
        <v>1310</v>
      </c>
      <c r="F50">
        <v>0</v>
      </c>
      <c r="G50">
        <v>-3.6300000000000001E-5</v>
      </c>
      <c r="H50">
        <v>5.8114500000000003E-4</v>
      </c>
      <c r="I50">
        <v>2.1222999999999999E-4</v>
      </c>
      <c r="J50">
        <v>3.1083819999999998E-3</v>
      </c>
      <c r="K50">
        <v>9.5490400000000002E-4</v>
      </c>
      <c r="L50">
        <v>-3.2812359999999999E-3</v>
      </c>
    </row>
    <row r="51" spans="1:12" x14ac:dyDescent="0.25">
      <c r="A51">
        <v>2342</v>
      </c>
      <c r="B51">
        <v>49254</v>
      </c>
      <c r="C51">
        <v>33</v>
      </c>
      <c r="D51">
        <v>113</v>
      </c>
      <c r="E51">
        <v>1310</v>
      </c>
      <c r="F51">
        <v>0</v>
      </c>
      <c r="G51">
        <v>6.0800000000000001E-5</v>
      </c>
      <c r="H51">
        <v>-1.946092E-3</v>
      </c>
      <c r="I51">
        <v>-2.62E-5</v>
      </c>
      <c r="J51">
        <v>3.3468009999999999E-3</v>
      </c>
      <c r="K51">
        <v>1.0610000000000001E-3</v>
      </c>
      <c r="L51">
        <v>-3.3527610000000001E-3</v>
      </c>
    </row>
    <row r="52" spans="1:12" x14ac:dyDescent="0.25">
      <c r="A52">
        <v>2342</v>
      </c>
      <c r="B52">
        <v>49255</v>
      </c>
      <c r="C52">
        <v>33</v>
      </c>
      <c r="D52">
        <v>114</v>
      </c>
      <c r="E52">
        <v>1310</v>
      </c>
      <c r="F52">
        <v>0</v>
      </c>
      <c r="G52">
        <v>1.2300000000000001E-6</v>
      </c>
      <c r="H52">
        <v>-2.29478E-4</v>
      </c>
      <c r="I52">
        <v>1.39512E-4</v>
      </c>
      <c r="J52">
        <v>3.394485E-3</v>
      </c>
      <c r="K52">
        <v>1.0705370000000001E-3</v>
      </c>
      <c r="L52">
        <v>-3.4481289999999999E-3</v>
      </c>
    </row>
    <row r="53" spans="1:12" x14ac:dyDescent="0.25">
      <c r="A53">
        <v>2342</v>
      </c>
      <c r="B53">
        <v>49256</v>
      </c>
      <c r="C53">
        <v>33</v>
      </c>
      <c r="D53">
        <v>115</v>
      </c>
      <c r="E53">
        <v>1310</v>
      </c>
      <c r="F53">
        <v>0</v>
      </c>
      <c r="G53">
        <v>-5.5899999999999996E-7</v>
      </c>
      <c r="H53">
        <v>-3.4868699999999998E-4</v>
      </c>
      <c r="I53">
        <v>1.33552E-4</v>
      </c>
      <c r="J53">
        <v>3.3468009999999999E-3</v>
      </c>
      <c r="K53">
        <v>1.037158E-3</v>
      </c>
      <c r="L53">
        <v>-3.5434960000000001E-3</v>
      </c>
    </row>
    <row r="54" spans="1:12" x14ac:dyDescent="0.25">
      <c r="A54">
        <v>2342</v>
      </c>
      <c r="B54">
        <v>49257</v>
      </c>
      <c r="C54">
        <v>33</v>
      </c>
      <c r="D54">
        <v>116</v>
      </c>
      <c r="E54">
        <v>1310</v>
      </c>
      <c r="F54">
        <v>0</v>
      </c>
      <c r="G54">
        <v>-2.5000000000000001E-5</v>
      </c>
      <c r="H54">
        <v>1.04308E-4</v>
      </c>
      <c r="I54">
        <v>1.8481199999999999E-4</v>
      </c>
      <c r="J54">
        <v>3.2514330000000002E-3</v>
      </c>
      <c r="K54">
        <v>9.93051E-4</v>
      </c>
      <c r="L54">
        <v>-3.6388639999999999E-3</v>
      </c>
    </row>
    <row r="55" spans="1:12" x14ac:dyDescent="0.25">
      <c r="A55">
        <v>2342</v>
      </c>
      <c r="B55">
        <v>49258</v>
      </c>
      <c r="C55">
        <v>33</v>
      </c>
      <c r="D55">
        <v>117</v>
      </c>
      <c r="E55">
        <v>1310</v>
      </c>
      <c r="F55">
        <v>0</v>
      </c>
      <c r="G55">
        <v>-1.9599999999999999E-5</v>
      </c>
      <c r="H55">
        <v>5.8114500000000003E-4</v>
      </c>
      <c r="I55">
        <v>1.9553999999999999E-4</v>
      </c>
      <c r="J55">
        <v>3.1560659999999999E-3</v>
      </c>
      <c r="K55">
        <v>1.0192770000000001E-3</v>
      </c>
      <c r="L55">
        <v>-2.9951330000000001E-3</v>
      </c>
    </row>
    <row r="56" spans="1:12" x14ac:dyDescent="0.25">
      <c r="A56">
        <v>2342</v>
      </c>
      <c r="B56">
        <v>49259</v>
      </c>
      <c r="C56">
        <v>33</v>
      </c>
      <c r="D56">
        <v>118</v>
      </c>
      <c r="E56">
        <v>1310</v>
      </c>
      <c r="F56">
        <v>0</v>
      </c>
      <c r="G56">
        <v>-2.26E-5</v>
      </c>
      <c r="H56">
        <v>1.1056659999999999E-3</v>
      </c>
      <c r="I56">
        <v>2.13422E-4</v>
      </c>
      <c r="J56">
        <v>3.013015E-3</v>
      </c>
      <c r="K56">
        <v>1.0311980000000001E-3</v>
      </c>
      <c r="L56">
        <v>-2.470613E-3</v>
      </c>
    </row>
    <row r="57" spans="1:12" x14ac:dyDescent="0.25">
      <c r="A57">
        <v>2342</v>
      </c>
      <c r="B57">
        <v>49260</v>
      </c>
      <c r="C57">
        <v>33</v>
      </c>
      <c r="D57">
        <v>119</v>
      </c>
      <c r="E57">
        <v>1310</v>
      </c>
      <c r="F57">
        <v>0</v>
      </c>
      <c r="G57">
        <v>1.08E-5</v>
      </c>
      <c r="H57">
        <v>6.7651300000000001E-4</v>
      </c>
      <c r="I57">
        <v>1.5262500000000001E-4</v>
      </c>
      <c r="J57">
        <v>2.9653309999999999E-3</v>
      </c>
      <c r="K57">
        <v>1.044311E-3</v>
      </c>
      <c r="L57">
        <v>-2.0891429999999999E-3</v>
      </c>
    </row>
    <row r="58" spans="1:12" x14ac:dyDescent="0.25">
      <c r="A58">
        <v>2342</v>
      </c>
      <c r="B58">
        <v>49261</v>
      </c>
      <c r="C58">
        <v>33</v>
      </c>
      <c r="D58">
        <v>120</v>
      </c>
      <c r="E58">
        <v>1310</v>
      </c>
      <c r="F58">
        <v>0</v>
      </c>
      <c r="G58">
        <v>8.5900000000000001E-5</v>
      </c>
      <c r="H58">
        <v>-1.2308359999999999E-3</v>
      </c>
      <c r="I58">
        <v>-2.3200000000000001E-5</v>
      </c>
      <c r="J58">
        <v>2.9653309999999999E-3</v>
      </c>
      <c r="K58">
        <v>1.047887E-3</v>
      </c>
      <c r="L58">
        <v>-2.136827E-3</v>
      </c>
    </row>
    <row r="59" spans="1:12" x14ac:dyDescent="0.25">
      <c r="A59">
        <v>2342</v>
      </c>
      <c r="B59">
        <v>49262</v>
      </c>
      <c r="C59">
        <v>33</v>
      </c>
      <c r="D59">
        <v>121</v>
      </c>
      <c r="E59">
        <v>1310</v>
      </c>
      <c r="F59">
        <v>0</v>
      </c>
      <c r="G59">
        <v>3.9400000000000002E-5</v>
      </c>
      <c r="H59">
        <v>-1.3411E-4</v>
      </c>
      <c r="I59">
        <v>8.2299999999999995E-5</v>
      </c>
      <c r="J59">
        <v>2.9176470000000002E-3</v>
      </c>
      <c r="K59">
        <v>1.020469E-3</v>
      </c>
      <c r="L59">
        <v>-2.2321939999999998E-3</v>
      </c>
    </row>
    <row r="60" spans="1:12" x14ac:dyDescent="0.25">
      <c r="A60">
        <v>2342</v>
      </c>
      <c r="B60">
        <v>49263</v>
      </c>
      <c r="C60">
        <v>33</v>
      </c>
      <c r="D60">
        <v>122</v>
      </c>
      <c r="E60">
        <v>1310</v>
      </c>
      <c r="F60">
        <v>0</v>
      </c>
      <c r="G60">
        <v>6.6799999999999997E-5</v>
      </c>
      <c r="H60">
        <v>-2.5332000000000002E-4</v>
      </c>
      <c r="I60">
        <v>4.18E-5</v>
      </c>
      <c r="J60">
        <v>2.869964E-3</v>
      </c>
      <c r="K60">
        <v>1.064576E-3</v>
      </c>
      <c r="L60">
        <v>-1.683831E-3</v>
      </c>
    </row>
    <row r="61" spans="1:12" x14ac:dyDescent="0.25">
      <c r="A61">
        <v>2342</v>
      </c>
      <c r="B61">
        <v>49264</v>
      </c>
      <c r="C61">
        <v>33</v>
      </c>
      <c r="D61">
        <v>123</v>
      </c>
      <c r="E61">
        <v>1310</v>
      </c>
      <c r="F61">
        <v>0</v>
      </c>
      <c r="G61">
        <v>6.0800000000000001E-5</v>
      </c>
      <c r="H61">
        <v>2.47359E-4</v>
      </c>
      <c r="I61">
        <v>6.5599999999999995E-5</v>
      </c>
      <c r="J61">
        <v>2.869964E-3</v>
      </c>
      <c r="K61">
        <v>1.08961E-3</v>
      </c>
      <c r="L61">
        <v>-1.27852E-3</v>
      </c>
    </row>
    <row r="62" spans="1:12" x14ac:dyDescent="0.25">
      <c r="A62">
        <v>2342</v>
      </c>
      <c r="B62">
        <v>49265</v>
      </c>
      <c r="C62">
        <v>33</v>
      </c>
      <c r="D62">
        <v>124</v>
      </c>
      <c r="E62">
        <v>1310</v>
      </c>
      <c r="F62">
        <v>0</v>
      </c>
      <c r="G62">
        <v>4.7700000000000001E-5</v>
      </c>
      <c r="H62">
        <v>7.7187999999999996E-4</v>
      </c>
      <c r="I62">
        <v>9.7800000000000006E-5</v>
      </c>
      <c r="J62">
        <v>2.8222799999999999E-3</v>
      </c>
      <c r="K62">
        <v>1.0979550000000001E-3</v>
      </c>
      <c r="L62">
        <v>-9.92417E-4</v>
      </c>
    </row>
    <row r="63" spans="1:12" x14ac:dyDescent="0.25">
      <c r="A63">
        <v>2342</v>
      </c>
      <c r="B63">
        <v>49266</v>
      </c>
      <c r="C63">
        <v>33</v>
      </c>
      <c r="D63">
        <v>125</v>
      </c>
      <c r="E63">
        <v>1310</v>
      </c>
      <c r="F63">
        <v>0</v>
      </c>
      <c r="G63">
        <v>5.6100000000000002E-5</v>
      </c>
      <c r="H63">
        <v>4.8577800000000002E-4</v>
      </c>
      <c r="I63">
        <v>7.75E-5</v>
      </c>
      <c r="J63">
        <v>2.7745959999999998E-3</v>
      </c>
      <c r="K63">
        <v>1.0776889999999999E-3</v>
      </c>
      <c r="L63">
        <v>-1.0639429999999999E-3</v>
      </c>
    </row>
    <row r="64" spans="1:12" x14ac:dyDescent="0.25">
      <c r="A64">
        <v>2342</v>
      </c>
      <c r="B64">
        <v>49267</v>
      </c>
      <c r="C64">
        <v>33</v>
      </c>
      <c r="D64">
        <v>126</v>
      </c>
      <c r="E64">
        <v>1310</v>
      </c>
      <c r="F64">
        <v>0</v>
      </c>
      <c r="G64">
        <v>5.9599999999999999E-5</v>
      </c>
      <c r="H64">
        <v>1.99676E-4</v>
      </c>
      <c r="I64">
        <v>5.6100000000000002E-5</v>
      </c>
      <c r="J64">
        <v>2.5838609999999998E-3</v>
      </c>
      <c r="K64">
        <v>9.93051E-4</v>
      </c>
      <c r="L64">
        <v>-1.1354679999999999E-3</v>
      </c>
    </row>
    <row r="65" spans="1:12" x14ac:dyDescent="0.25">
      <c r="A65">
        <v>2342</v>
      </c>
      <c r="B65">
        <v>49268</v>
      </c>
      <c r="C65">
        <v>33</v>
      </c>
      <c r="D65">
        <v>127</v>
      </c>
      <c r="E65">
        <v>1310</v>
      </c>
      <c r="F65">
        <v>0</v>
      </c>
      <c r="G65">
        <v>3.82E-5</v>
      </c>
      <c r="H65">
        <v>6.7651300000000001E-4</v>
      </c>
      <c r="I65">
        <v>1.03749E-4</v>
      </c>
      <c r="J65">
        <v>2.6315449999999999E-3</v>
      </c>
      <c r="K65">
        <v>1.0192770000000001E-3</v>
      </c>
      <c r="L65">
        <v>-1.2069940000000001E-3</v>
      </c>
    </row>
    <row r="66" spans="1:12" x14ac:dyDescent="0.25">
      <c r="A66">
        <v>2342</v>
      </c>
      <c r="B66">
        <v>49269</v>
      </c>
      <c r="C66">
        <v>33</v>
      </c>
      <c r="D66">
        <v>128</v>
      </c>
      <c r="E66">
        <v>1310</v>
      </c>
      <c r="F66">
        <v>0</v>
      </c>
      <c r="G66">
        <v>2.9799999999999999E-5</v>
      </c>
      <c r="H66">
        <v>1.15335E-3</v>
      </c>
      <c r="I66">
        <v>1.2520700000000001E-4</v>
      </c>
      <c r="J66">
        <v>2.5838609999999998E-3</v>
      </c>
      <c r="K66">
        <v>1.0335819999999999E-3</v>
      </c>
      <c r="L66">
        <v>-8.0168199999999996E-4</v>
      </c>
    </row>
    <row r="67" spans="1:12" x14ac:dyDescent="0.25">
      <c r="A67">
        <v>2342</v>
      </c>
      <c r="B67">
        <v>49270</v>
      </c>
      <c r="C67">
        <v>33</v>
      </c>
      <c r="D67">
        <v>129</v>
      </c>
      <c r="E67">
        <v>1310</v>
      </c>
      <c r="F67">
        <v>0</v>
      </c>
      <c r="G67">
        <v>5.13E-5</v>
      </c>
      <c r="H67">
        <v>7.7187999999999996E-4</v>
      </c>
      <c r="I67">
        <v>7.5099999999999996E-5</v>
      </c>
      <c r="J67">
        <v>2.3931260000000002E-3</v>
      </c>
      <c r="K67">
        <v>9.7516900000000001E-4</v>
      </c>
      <c r="L67">
        <v>-5.1557999999999997E-4</v>
      </c>
    </row>
    <row r="68" spans="1:12" x14ac:dyDescent="0.25">
      <c r="A68">
        <v>2342</v>
      </c>
      <c r="B68">
        <v>49271</v>
      </c>
      <c r="C68">
        <v>33</v>
      </c>
      <c r="D68">
        <v>130</v>
      </c>
      <c r="E68">
        <v>1310</v>
      </c>
      <c r="F68">
        <v>0</v>
      </c>
      <c r="G68">
        <v>2.51E-5</v>
      </c>
      <c r="H68">
        <v>1.2487170000000001E-3</v>
      </c>
      <c r="I68">
        <v>1.21631E-4</v>
      </c>
      <c r="J68">
        <v>2.2977589999999999E-3</v>
      </c>
      <c r="K68">
        <v>9.4417500000000001E-4</v>
      </c>
      <c r="L68">
        <v>-5.87106E-4</v>
      </c>
    </row>
    <row r="69" spans="1:12" x14ac:dyDescent="0.25">
      <c r="A69">
        <v>2342</v>
      </c>
      <c r="B69">
        <v>49272</v>
      </c>
      <c r="C69">
        <v>33</v>
      </c>
      <c r="D69">
        <v>131</v>
      </c>
      <c r="E69">
        <v>1310</v>
      </c>
      <c r="F69">
        <v>0</v>
      </c>
      <c r="G69">
        <v>1.2300000000000001E-6</v>
      </c>
      <c r="H69">
        <v>1.677871E-3</v>
      </c>
      <c r="I69">
        <v>1.6812199999999999E-4</v>
      </c>
      <c r="J69">
        <v>2.345443E-3</v>
      </c>
      <c r="K69">
        <v>9.5728800000000004E-4</v>
      </c>
      <c r="L69">
        <v>-6.5863100000000002E-4</v>
      </c>
    </row>
    <row r="70" spans="1:12" x14ac:dyDescent="0.25">
      <c r="A70">
        <v>2342</v>
      </c>
      <c r="B70">
        <v>49273</v>
      </c>
      <c r="C70">
        <v>33</v>
      </c>
      <c r="D70">
        <v>132</v>
      </c>
      <c r="E70">
        <v>1310</v>
      </c>
      <c r="F70">
        <v>0</v>
      </c>
      <c r="G70">
        <v>2.8600000000000001E-5</v>
      </c>
      <c r="H70">
        <v>8.1956399999999995E-4</v>
      </c>
      <c r="I70">
        <v>9.6600000000000003E-5</v>
      </c>
      <c r="J70">
        <v>2.0593400000000002E-3</v>
      </c>
      <c r="K70">
        <v>8.24966E-4</v>
      </c>
      <c r="L70">
        <v>-7.06315E-4</v>
      </c>
    </row>
    <row r="71" spans="1:12" x14ac:dyDescent="0.25">
      <c r="A71">
        <v>2342</v>
      </c>
      <c r="B71">
        <v>49274</v>
      </c>
      <c r="C71">
        <v>33</v>
      </c>
      <c r="D71">
        <v>133</v>
      </c>
      <c r="E71">
        <v>1310</v>
      </c>
      <c r="F71">
        <v>0</v>
      </c>
      <c r="G71">
        <v>3.9400000000000002E-5</v>
      </c>
      <c r="H71">
        <v>5.3346199999999996E-4</v>
      </c>
      <c r="I71">
        <v>7.3899999999999994E-5</v>
      </c>
      <c r="J71">
        <v>2.011657E-3</v>
      </c>
      <c r="K71">
        <v>8.05892E-4</v>
      </c>
      <c r="L71">
        <v>-7.7784100000000004E-4</v>
      </c>
    </row>
    <row r="72" spans="1:12" x14ac:dyDescent="0.25">
      <c r="A72">
        <v>2342</v>
      </c>
      <c r="B72">
        <v>49275</v>
      </c>
      <c r="C72">
        <v>33</v>
      </c>
      <c r="D72">
        <v>134</v>
      </c>
      <c r="E72">
        <v>1310</v>
      </c>
      <c r="F72">
        <v>0</v>
      </c>
      <c r="G72">
        <v>5.3699999999999997E-5</v>
      </c>
      <c r="H72">
        <v>2.9504299999999999E-4</v>
      </c>
      <c r="I72">
        <v>5.13E-5</v>
      </c>
      <c r="J72">
        <v>2.1070239999999999E-3</v>
      </c>
      <c r="K72">
        <v>8.45231E-4</v>
      </c>
      <c r="L72">
        <v>-8.2552400000000001E-4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55B9-6BF8-4408-8E2A-6FE3A1790132}">
  <dimension ref="A1:P275"/>
  <sheetViews>
    <sheetView workbookViewId="0">
      <selection activeCell="M20" sqref="M20"/>
    </sheetView>
  </sheetViews>
  <sheetFormatPr defaultRowHeight="15" x14ac:dyDescent="0.25"/>
  <cols>
    <col min="1" max="1" width="15.85546875" bestFit="1" customWidth="1"/>
    <col min="2" max="2" width="12" bestFit="1" customWidth="1"/>
    <col min="3" max="3" width="6.42578125" bestFit="1" customWidth="1"/>
    <col min="4" max="4" width="7.7109375" bestFit="1" customWidth="1"/>
    <col min="5" max="5" width="7.42578125" bestFit="1" customWidth="1"/>
    <col min="6" max="6" width="11.5703125" bestFit="1" customWidth="1"/>
    <col min="7" max="7" width="7.42578125" bestFit="1" customWidth="1"/>
    <col min="8" max="8" width="6.42578125" bestFit="1" customWidth="1"/>
    <col min="9" max="9" width="6" bestFit="1" customWidth="1"/>
    <col min="10" max="10" width="6.7109375" bestFit="1" customWidth="1"/>
    <col min="11" max="11" width="7.5703125" bestFit="1" customWidth="1"/>
    <col min="12" max="12" width="10.42578125" bestFit="1" customWidth="1"/>
    <col min="13" max="13" width="12.140625" bestFit="1" customWidth="1"/>
    <col min="14" max="14" width="12.85546875" bestFit="1" customWidth="1"/>
    <col min="15" max="15" width="10.7109375" bestFit="1" customWidth="1"/>
    <col min="16" max="16" width="81.140625" bestFit="1" customWidth="1"/>
  </cols>
  <sheetData>
    <row r="1" spans="1:1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25">
      <c r="A2">
        <v>1</v>
      </c>
      <c r="B2">
        <v>206387082.421</v>
      </c>
      <c r="C2">
        <v>0.7</v>
      </c>
      <c r="D2">
        <v>2</v>
      </c>
      <c r="E2" t="s">
        <v>40</v>
      </c>
      <c r="F2">
        <v>21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 t="s">
        <v>41</v>
      </c>
    </row>
    <row r="3" spans="1:16" x14ac:dyDescent="0.25">
      <c r="A3">
        <v>2</v>
      </c>
      <c r="B3">
        <v>206387082.671</v>
      </c>
      <c r="C3">
        <v>0</v>
      </c>
      <c r="D3">
        <v>0</v>
      </c>
      <c r="E3" t="s">
        <v>42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43</v>
      </c>
    </row>
    <row r="4" spans="1:16" x14ac:dyDescent="0.25">
      <c r="A4">
        <v>3</v>
      </c>
      <c r="B4">
        <v>206387082.921</v>
      </c>
      <c r="C4">
        <v>0</v>
      </c>
      <c r="D4">
        <v>0</v>
      </c>
      <c r="E4" t="s">
        <v>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44</v>
      </c>
    </row>
    <row r="5" spans="1:16" x14ac:dyDescent="0.25">
      <c r="A5">
        <v>4</v>
      </c>
      <c r="B5">
        <v>206387083.171</v>
      </c>
      <c r="C5">
        <v>0</v>
      </c>
      <c r="D5">
        <v>0</v>
      </c>
      <c r="E5" t="s">
        <v>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45</v>
      </c>
    </row>
    <row r="6" spans="1:16" x14ac:dyDescent="0.25">
      <c r="A6">
        <v>5</v>
      </c>
      <c r="B6">
        <v>206387083.671</v>
      </c>
      <c r="C6">
        <v>0</v>
      </c>
      <c r="D6">
        <v>0</v>
      </c>
      <c r="E6" t="s">
        <v>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46</v>
      </c>
    </row>
    <row r="7" spans="1:16" x14ac:dyDescent="0.25">
      <c r="A7">
        <v>6</v>
      </c>
      <c r="B7">
        <v>206387083.921</v>
      </c>
      <c r="C7">
        <v>0</v>
      </c>
      <c r="D7">
        <v>0</v>
      </c>
      <c r="E7" t="s">
        <v>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47</v>
      </c>
    </row>
    <row r="8" spans="1:16" x14ac:dyDescent="0.25">
      <c r="A8">
        <v>7</v>
      </c>
      <c r="B8">
        <v>206387084.171</v>
      </c>
      <c r="C8">
        <v>0</v>
      </c>
      <c r="D8">
        <v>0</v>
      </c>
      <c r="E8" t="s">
        <v>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48</v>
      </c>
    </row>
    <row r="9" spans="1:16" x14ac:dyDescent="0.25">
      <c r="A9">
        <v>8</v>
      </c>
      <c r="B9">
        <v>206387084.421</v>
      </c>
      <c r="C9">
        <v>0</v>
      </c>
      <c r="D9">
        <v>0</v>
      </c>
      <c r="E9" t="s">
        <v>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49</v>
      </c>
    </row>
    <row r="10" spans="1:16" x14ac:dyDescent="0.25">
      <c r="A10">
        <v>9</v>
      </c>
      <c r="B10">
        <v>206387084.671</v>
      </c>
      <c r="C10">
        <v>0</v>
      </c>
      <c r="D10">
        <v>0</v>
      </c>
      <c r="E10" t="s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50</v>
      </c>
    </row>
    <row r="11" spans="1:16" x14ac:dyDescent="0.25">
      <c r="A11">
        <v>10</v>
      </c>
      <c r="B11">
        <v>206387084.921</v>
      </c>
      <c r="C11">
        <v>0</v>
      </c>
      <c r="D11">
        <v>0</v>
      </c>
      <c r="E11" t="s">
        <v>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51</v>
      </c>
    </row>
    <row r="12" spans="1:16" x14ac:dyDescent="0.25">
      <c r="A12">
        <v>11</v>
      </c>
      <c r="B12">
        <v>206387085.171</v>
      </c>
      <c r="C12">
        <v>0</v>
      </c>
      <c r="D12">
        <v>0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52</v>
      </c>
    </row>
    <row r="13" spans="1:16" x14ac:dyDescent="0.25">
      <c r="A13">
        <v>12</v>
      </c>
      <c r="B13">
        <v>206387085.421</v>
      </c>
      <c r="C13">
        <v>0</v>
      </c>
      <c r="D13">
        <v>0</v>
      </c>
      <c r="E13" t="s">
        <v>42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53</v>
      </c>
    </row>
    <row r="14" spans="1:16" x14ac:dyDescent="0.25">
      <c r="A14">
        <v>13</v>
      </c>
      <c r="B14">
        <v>206387085.671</v>
      </c>
      <c r="C14">
        <v>0</v>
      </c>
      <c r="D14">
        <v>0</v>
      </c>
      <c r="E14" t="s">
        <v>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54</v>
      </c>
    </row>
    <row r="15" spans="1:16" x14ac:dyDescent="0.25">
      <c r="A15">
        <v>14</v>
      </c>
      <c r="B15">
        <v>206387085.921</v>
      </c>
      <c r="C15">
        <v>0</v>
      </c>
      <c r="D15">
        <v>0</v>
      </c>
      <c r="E15" t="s">
        <v>42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55</v>
      </c>
    </row>
    <row r="16" spans="1:16" x14ac:dyDescent="0.25">
      <c r="A16">
        <v>15</v>
      </c>
      <c r="B16">
        <v>206387086.171</v>
      </c>
      <c r="C16">
        <v>0</v>
      </c>
      <c r="D16">
        <v>0</v>
      </c>
      <c r="E16" t="s">
        <v>42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56</v>
      </c>
    </row>
    <row r="17" spans="1:16" x14ac:dyDescent="0.25">
      <c r="A17">
        <v>16</v>
      </c>
      <c r="B17">
        <v>206387086.421</v>
      </c>
      <c r="C17">
        <v>0</v>
      </c>
      <c r="D17">
        <v>0</v>
      </c>
      <c r="E17" t="s">
        <v>42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57</v>
      </c>
    </row>
    <row r="18" spans="1:16" x14ac:dyDescent="0.25">
      <c r="A18">
        <v>17</v>
      </c>
      <c r="B18">
        <v>206387086.671</v>
      </c>
      <c r="C18">
        <v>0</v>
      </c>
      <c r="D18">
        <v>0</v>
      </c>
      <c r="E18" t="s">
        <v>42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58</v>
      </c>
    </row>
    <row r="19" spans="1:16" x14ac:dyDescent="0.25">
      <c r="A19">
        <v>18</v>
      </c>
      <c r="B19">
        <v>206387086.921</v>
      </c>
      <c r="C19">
        <v>0</v>
      </c>
      <c r="D19">
        <v>0</v>
      </c>
      <c r="E19" t="s">
        <v>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59</v>
      </c>
    </row>
    <row r="20" spans="1:16" x14ac:dyDescent="0.25">
      <c r="A20">
        <v>19</v>
      </c>
      <c r="B20">
        <v>206387087.171</v>
      </c>
      <c r="C20">
        <v>0</v>
      </c>
      <c r="D20">
        <v>0</v>
      </c>
      <c r="E20" t="s">
        <v>42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60</v>
      </c>
    </row>
    <row r="21" spans="1:16" x14ac:dyDescent="0.25">
      <c r="A21">
        <v>20</v>
      </c>
      <c r="B21">
        <v>206387087.421</v>
      </c>
      <c r="C21">
        <v>0</v>
      </c>
      <c r="D21">
        <v>0</v>
      </c>
      <c r="E21" t="s">
        <v>42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61</v>
      </c>
    </row>
    <row r="22" spans="1:16" x14ac:dyDescent="0.25">
      <c r="A22">
        <v>21</v>
      </c>
      <c r="B22">
        <v>206387087.671</v>
      </c>
      <c r="C22">
        <v>0</v>
      </c>
      <c r="D22">
        <v>0</v>
      </c>
      <c r="E22" t="s">
        <v>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62</v>
      </c>
    </row>
    <row r="23" spans="1:16" x14ac:dyDescent="0.25">
      <c r="A23">
        <v>22</v>
      </c>
      <c r="B23">
        <v>206387087.921</v>
      </c>
      <c r="C23">
        <v>0</v>
      </c>
      <c r="D23">
        <v>0</v>
      </c>
      <c r="E23" t="s">
        <v>42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63</v>
      </c>
    </row>
    <row r="24" spans="1:16" x14ac:dyDescent="0.25">
      <c r="A24">
        <v>23</v>
      </c>
      <c r="B24">
        <v>206387088.171</v>
      </c>
      <c r="C24">
        <v>0</v>
      </c>
      <c r="D24">
        <v>0</v>
      </c>
      <c r="E24" t="s">
        <v>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64</v>
      </c>
    </row>
    <row r="25" spans="1:16" x14ac:dyDescent="0.25">
      <c r="A25">
        <v>24</v>
      </c>
      <c r="B25">
        <v>206387088.421</v>
      </c>
      <c r="C25">
        <v>0</v>
      </c>
      <c r="D25">
        <v>0</v>
      </c>
      <c r="E25" t="s">
        <v>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65</v>
      </c>
    </row>
    <row r="26" spans="1:16" x14ac:dyDescent="0.25">
      <c r="A26">
        <v>25</v>
      </c>
      <c r="B26">
        <v>206387088.921</v>
      </c>
      <c r="C26">
        <v>0</v>
      </c>
      <c r="D26">
        <v>0</v>
      </c>
      <c r="E26" t="s">
        <v>42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66</v>
      </c>
    </row>
    <row r="27" spans="1:16" x14ac:dyDescent="0.25">
      <c r="A27">
        <v>26</v>
      </c>
      <c r="B27">
        <v>206387089.171</v>
      </c>
      <c r="C27">
        <v>0</v>
      </c>
      <c r="D27">
        <v>0</v>
      </c>
      <c r="E27" t="s">
        <v>42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67</v>
      </c>
    </row>
    <row r="28" spans="1:16" x14ac:dyDescent="0.25">
      <c r="A28">
        <v>27</v>
      </c>
      <c r="B28">
        <v>206387089.421</v>
      </c>
      <c r="C28">
        <v>0</v>
      </c>
      <c r="D28">
        <v>0</v>
      </c>
      <c r="E28" t="s">
        <v>42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68</v>
      </c>
    </row>
    <row r="29" spans="1:16" x14ac:dyDescent="0.25">
      <c r="A29">
        <v>28</v>
      </c>
      <c r="B29">
        <v>206387089.671</v>
      </c>
      <c r="C29">
        <v>0</v>
      </c>
      <c r="D29">
        <v>0</v>
      </c>
      <c r="E29" t="s">
        <v>42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69</v>
      </c>
    </row>
    <row r="30" spans="1:16" x14ac:dyDescent="0.25">
      <c r="A30">
        <v>29</v>
      </c>
      <c r="B30">
        <v>206387089.921</v>
      </c>
      <c r="C30">
        <v>0</v>
      </c>
      <c r="D30">
        <v>0</v>
      </c>
      <c r="E30" t="s">
        <v>42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70</v>
      </c>
    </row>
    <row r="31" spans="1:16" x14ac:dyDescent="0.25">
      <c r="A31">
        <v>30</v>
      </c>
      <c r="B31">
        <v>206387090.171</v>
      </c>
      <c r="C31">
        <v>0</v>
      </c>
      <c r="D31">
        <v>0</v>
      </c>
      <c r="E31" t="s">
        <v>42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71</v>
      </c>
    </row>
    <row r="32" spans="1:16" x14ac:dyDescent="0.25">
      <c r="A32">
        <v>31</v>
      </c>
      <c r="B32">
        <v>206387090.421</v>
      </c>
      <c r="C32">
        <v>0</v>
      </c>
      <c r="D32">
        <v>0</v>
      </c>
      <c r="E32" t="s">
        <v>42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72</v>
      </c>
    </row>
    <row r="33" spans="1:16" x14ac:dyDescent="0.25">
      <c r="A33">
        <v>32</v>
      </c>
      <c r="B33">
        <v>206387090.671</v>
      </c>
      <c r="C33">
        <v>0</v>
      </c>
      <c r="D33">
        <v>0</v>
      </c>
      <c r="E33" t="s">
        <v>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73</v>
      </c>
    </row>
    <row r="34" spans="1:16" x14ac:dyDescent="0.25">
      <c r="A34">
        <v>33</v>
      </c>
      <c r="B34">
        <v>206387090.921</v>
      </c>
      <c r="C34">
        <v>0</v>
      </c>
      <c r="D34">
        <v>0</v>
      </c>
      <c r="E34" t="s">
        <v>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74</v>
      </c>
    </row>
    <row r="35" spans="1:16" x14ac:dyDescent="0.25">
      <c r="A35">
        <v>34</v>
      </c>
      <c r="B35">
        <v>206387091.171</v>
      </c>
      <c r="C35">
        <v>0</v>
      </c>
      <c r="D35">
        <v>0</v>
      </c>
      <c r="E35" t="s">
        <v>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75</v>
      </c>
    </row>
    <row r="36" spans="1:16" x14ac:dyDescent="0.25">
      <c r="A36">
        <v>35</v>
      </c>
      <c r="B36">
        <v>206387091.421</v>
      </c>
      <c r="C36">
        <v>0</v>
      </c>
      <c r="D36">
        <v>0</v>
      </c>
      <c r="E36" t="s">
        <v>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76</v>
      </c>
    </row>
    <row r="37" spans="1:16" x14ac:dyDescent="0.25">
      <c r="A37">
        <v>36</v>
      </c>
      <c r="B37">
        <v>206387091.671</v>
      </c>
      <c r="C37">
        <v>0</v>
      </c>
      <c r="D37">
        <v>0</v>
      </c>
      <c r="E37" t="s">
        <v>42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77</v>
      </c>
    </row>
    <row r="38" spans="1:16" x14ac:dyDescent="0.25">
      <c r="A38">
        <v>37</v>
      </c>
      <c r="B38">
        <v>206387091.921</v>
      </c>
      <c r="C38">
        <v>0</v>
      </c>
      <c r="D38">
        <v>0</v>
      </c>
      <c r="E38" t="s">
        <v>42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78</v>
      </c>
    </row>
    <row r="39" spans="1:16" x14ac:dyDescent="0.25">
      <c r="A39">
        <v>38</v>
      </c>
      <c r="B39">
        <v>206387092.171</v>
      </c>
      <c r="C39">
        <v>0</v>
      </c>
      <c r="D39">
        <v>0</v>
      </c>
      <c r="E39" t="s">
        <v>42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79</v>
      </c>
    </row>
    <row r="40" spans="1:16" x14ac:dyDescent="0.25">
      <c r="A40">
        <v>39</v>
      </c>
      <c r="B40">
        <v>206387092.421</v>
      </c>
      <c r="C40">
        <v>0</v>
      </c>
      <c r="D40">
        <v>0</v>
      </c>
      <c r="E40" t="s">
        <v>42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80</v>
      </c>
    </row>
    <row r="41" spans="1:16" x14ac:dyDescent="0.25">
      <c r="A41">
        <v>40</v>
      </c>
      <c r="B41">
        <v>206387092.671</v>
      </c>
      <c r="C41">
        <v>0</v>
      </c>
      <c r="D41">
        <v>0</v>
      </c>
      <c r="E41" t="s">
        <v>42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81</v>
      </c>
    </row>
    <row r="42" spans="1:16" x14ac:dyDescent="0.25">
      <c r="A42">
        <v>41</v>
      </c>
      <c r="B42">
        <v>206387092.921</v>
      </c>
      <c r="C42">
        <v>0</v>
      </c>
      <c r="D42">
        <v>0</v>
      </c>
      <c r="E42" t="s">
        <v>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82</v>
      </c>
    </row>
    <row r="43" spans="1:16" x14ac:dyDescent="0.25">
      <c r="A43">
        <v>42</v>
      </c>
      <c r="B43">
        <v>206387093.171</v>
      </c>
      <c r="C43">
        <v>0</v>
      </c>
      <c r="D43">
        <v>0</v>
      </c>
      <c r="E43" t="s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83</v>
      </c>
    </row>
    <row r="44" spans="1:16" x14ac:dyDescent="0.25">
      <c r="A44">
        <v>43</v>
      </c>
      <c r="B44">
        <v>206387093.421</v>
      </c>
      <c r="C44">
        <v>0</v>
      </c>
      <c r="D44">
        <v>0</v>
      </c>
      <c r="E44" t="s">
        <v>42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84</v>
      </c>
    </row>
    <row r="45" spans="1:16" x14ac:dyDescent="0.25">
      <c r="A45">
        <v>44</v>
      </c>
      <c r="B45">
        <v>206387093.671</v>
      </c>
      <c r="C45">
        <v>0</v>
      </c>
      <c r="D45">
        <v>0</v>
      </c>
      <c r="E45" t="s">
        <v>42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85</v>
      </c>
    </row>
    <row r="46" spans="1:16" x14ac:dyDescent="0.25">
      <c r="A46">
        <v>45</v>
      </c>
      <c r="B46">
        <v>206387093.921</v>
      </c>
      <c r="C46">
        <v>0</v>
      </c>
      <c r="D46">
        <v>0</v>
      </c>
      <c r="E46" t="s">
        <v>42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86</v>
      </c>
    </row>
    <row r="47" spans="1:16" x14ac:dyDescent="0.25">
      <c r="A47">
        <v>46</v>
      </c>
      <c r="B47">
        <v>206387093.921</v>
      </c>
      <c r="C47">
        <v>0.5</v>
      </c>
      <c r="D47">
        <v>1</v>
      </c>
      <c r="E47" t="s">
        <v>87</v>
      </c>
      <c r="F47">
        <v>5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88</v>
      </c>
    </row>
    <row r="48" spans="1:16" x14ac:dyDescent="0.25">
      <c r="A48">
        <v>47</v>
      </c>
      <c r="B48">
        <v>206387094.421</v>
      </c>
      <c r="C48">
        <v>0</v>
      </c>
      <c r="D48">
        <v>0</v>
      </c>
      <c r="E48" t="s">
        <v>42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89</v>
      </c>
    </row>
    <row r="49" spans="1:16" x14ac:dyDescent="0.25">
      <c r="A49">
        <v>48</v>
      </c>
      <c r="B49">
        <v>206387094.671</v>
      </c>
      <c r="C49">
        <v>0</v>
      </c>
      <c r="D49">
        <v>0</v>
      </c>
      <c r="E49" t="s">
        <v>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90</v>
      </c>
    </row>
    <row r="50" spans="1:16" x14ac:dyDescent="0.25">
      <c r="A50">
        <v>49</v>
      </c>
      <c r="B50">
        <v>206387094.921</v>
      </c>
      <c r="C50">
        <v>0</v>
      </c>
      <c r="D50">
        <v>0</v>
      </c>
      <c r="E50" t="s">
        <v>42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91</v>
      </c>
    </row>
    <row r="51" spans="1:16" x14ac:dyDescent="0.25">
      <c r="A51">
        <v>50</v>
      </c>
      <c r="B51">
        <v>206387095.171</v>
      </c>
      <c r="C51">
        <v>0</v>
      </c>
      <c r="D51">
        <v>0</v>
      </c>
      <c r="E51" t="s">
        <v>42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92</v>
      </c>
    </row>
    <row r="52" spans="1:16" x14ac:dyDescent="0.25">
      <c r="A52">
        <v>51</v>
      </c>
      <c r="B52">
        <v>206387095.421</v>
      </c>
      <c r="C52">
        <v>0</v>
      </c>
      <c r="D52">
        <v>0</v>
      </c>
      <c r="E52" t="s">
        <v>42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93</v>
      </c>
    </row>
    <row r="53" spans="1:16" x14ac:dyDescent="0.25">
      <c r="A53">
        <v>52</v>
      </c>
      <c r="B53">
        <v>206387095.671</v>
      </c>
      <c r="C53">
        <v>0</v>
      </c>
      <c r="D53">
        <v>0</v>
      </c>
      <c r="E53" t="s">
        <v>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94</v>
      </c>
    </row>
    <row r="54" spans="1:16" x14ac:dyDescent="0.25">
      <c r="A54">
        <v>53</v>
      </c>
      <c r="B54">
        <v>206387095.921</v>
      </c>
      <c r="C54">
        <v>0</v>
      </c>
      <c r="D54">
        <v>0</v>
      </c>
      <c r="E54" t="s">
        <v>42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95</v>
      </c>
    </row>
    <row r="55" spans="1:16" x14ac:dyDescent="0.25">
      <c r="A55">
        <v>54</v>
      </c>
      <c r="B55">
        <v>206387096.171</v>
      </c>
      <c r="C55">
        <v>0</v>
      </c>
      <c r="D55">
        <v>0</v>
      </c>
      <c r="E55" t="s">
        <v>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96</v>
      </c>
    </row>
    <row r="56" spans="1:16" x14ac:dyDescent="0.25">
      <c r="A56">
        <v>55</v>
      </c>
      <c r="B56">
        <v>206387096.421</v>
      </c>
      <c r="C56">
        <v>0</v>
      </c>
      <c r="D56">
        <v>0</v>
      </c>
      <c r="E56" t="s">
        <v>42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97</v>
      </c>
    </row>
    <row r="57" spans="1:16" x14ac:dyDescent="0.25">
      <c r="A57">
        <v>56</v>
      </c>
      <c r="B57">
        <v>206387096.671</v>
      </c>
      <c r="C57">
        <v>0</v>
      </c>
      <c r="D57">
        <v>0</v>
      </c>
      <c r="E57" t="s">
        <v>42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98</v>
      </c>
    </row>
    <row r="58" spans="1:16" x14ac:dyDescent="0.25">
      <c r="A58">
        <v>57</v>
      </c>
      <c r="B58">
        <v>206387096.921</v>
      </c>
      <c r="C58">
        <v>0</v>
      </c>
      <c r="D58">
        <v>0</v>
      </c>
      <c r="E58" t="s">
        <v>42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99</v>
      </c>
    </row>
    <row r="59" spans="1:16" x14ac:dyDescent="0.25">
      <c r="A59">
        <v>58</v>
      </c>
      <c r="B59">
        <v>206387097.171</v>
      </c>
      <c r="C59">
        <v>0</v>
      </c>
      <c r="D59">
        <v>0</v>
      </c>
      <c r="E59" t="s">
        <v>42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100</v>
      </c>
    </row>
    <row r="60" spans="1:16" x14ac:dyDescent="0.25">
      <c r="A60">
        <v>59</v>
      </c>
      <c r="B60">
        <v>206387097.421</v>
      </c>
      <c r="C60">
        <v>0</v>
      </c>
      <c r="D60">
        <v>0</v>
      </c>
      <c r="E60" t="s">
        <v>42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101</v>
      </c>
    </row>
    <row r="61" spans="1:16" x14ac:dyDescent="0.25">
      <c r="A61">
        <v>60</v>
      </c>
      <c r="B61">
        <v>206387097.671</v>
      </c>
      <c r="C61">
        <v>0</v>
      </c>
      <c r="D61">
        <v>0</v>
      </c>
      <c r="E61" t="s">
        <v>42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102</v>
      </c>
    </row>
    <row r="62" spans="1:16" x14ac:dyDescent="0.25">
      <c r="A62">
        <v>61</v>
      </c>
      <c r="B62">
        <v>206387097.921</v>
      </c>
      <c r="C62">
        <v>0</v>
      </c>
      <c r="D62">
        <v>0</v>
      </c>
      <c r="E62" t="s">
        <v>42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103</v>
      </c>
    </row>
    <row r="63" spans="1:16" x14ac:dyDescent="0.25">
      <c r="A63">
        <v>62</v>
      </c>
      <c r="B63">
        <v>206387098.171</v>
      </c>
      <c r="C63">
        <v>0</v>
      </c>
      <c r="D63">
        <v>0</v>
      </c>
      <c r="E63" t="s">
        <v>42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104</v>
      </c>
    </row>
    <row r="64" spans="1:16" x14ac:dyDescent="0.25">
      <c r="A64">
        <v>63</v>
      </c>
      <c r="B64">
        <v>206387098.421</v>
      </c>
      <c r="C64">
        <v>0</v>
      </c>
      <c r="D64">
        <v>0</v>
      </c>
      <c r="E64" t="s">
        <v>42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105</v>
      </c>
    </row>
    <row r="65" spans="1:16" x14ac:dyDescent="0.25">
      <c r="A65">
        <v>64</v>
      </c>
      <c r="B65">
        <v>206387098.671</v>
      </c>
      <c r="C65">
        <v>0</v>
      </c>
      <c r="D65">
        <v>0</v>
      </c>
      <c r="E65" t="s">
        <v>42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106</v>
      </c>
    </row>
    <row r="66" spans="1:16" x14ac:dyDescent="0.25">
      <c r="A66">
        <v>65</v>
      </c>
      <c r="B66">
        <v>206387098.921</v>
      </c>
      <c r="C66">
        <v>0</v>
      </c>
      <c r="D66">
        <v>0</v>
      </c>
      <c r="E66" t="s">
        <v>42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107</v>
      </c>
    </row>
    <row r="67" spans="1:16" x14ac:dyDescent="0.25">
      <c r="A67">
        <v>66</v>
      </c>
      <c r="B67">
        <v>206387099.171</v>
      </c>
      <c r="C67">
        <v>0</v>
      </c>
      <c r="D67">
        <v>0</v>
      </c>
      <c r="E67" t="s">
        <v>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108</v>
      </c>
    </row>
    <row r="68" spans="1:16" x14ac:dyDescent="0.25">
      <c r="A68">
        <v>67</v>
      </c>
      <c r="B68">
        <v>206387099.421</v>
      </c>
      <c r="C68">
        <v>0</v>
      </c>
      <c r="D68">
        <v>0</v>
      </c>
      <c r="E68" t="s">
        <v>42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109</v>
      </c>
    </row>
    <row r="69" spans="1:16" x14ac:dyDescent="0.25">
      <c r="A69">
        <v>68</v>
      </c>
      <c r="B69">
        <v>206387099.421</v>
      </c>
      <c r="C69">
        <v>0.5</v>
      </c>
      <c r="D69">
        <v>1</v>
      </c>
      <c r="E69" t="s">
        <v>87</v>
      </c>
      <c r="F69">
        <v>5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110</v>
      </c>
    </row>
    <row r="70" spans="1:16" x14ac:dyDescent="0.25">
      <c r="A70">
        <v>69</v>
      </c>
      <c r="B70">
        <v>206387100.171</v>
      </c>
      <c r="C70">
        <v>0</v>
      </c>
      <c r="D70">
        <v>0</v>
      </c>
      <c r="E70" t="s">
        <v>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111</v>
      </c>
    </row>
    <row r="71" spans="1:16" x14ac:dyDescent="0.25">
      <c r="A71">
        <v>70</v>
      </c>
      <c r="B71">
        <v>206387100.421</v>
      </c>
      <c r="C71">
        <v>0</v>
      </c>
      <c r="D71">
        <v>0</v>
      </c>
      <c r="E71" t="s">
        <v>42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112</v>
      </c>
    </row>
    <row r="72" spans="1:16" x14ac:dyDescent="0.25">
      <c r="A72">
        <v>71</v>
      </c>
      <c r="B72">
        <v>206387100.671</v>
      </c>
      <c r="C72">
        <v>0</v>
      </c>
      <c r="D72">
        <v>0</v>
      </c>
      <c r="E72" t="s">
        <v>42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113</v>
      </c>
    </row>
    <row r="73" spans="1:16" x14ac:dyDescent="0.25">
      <c r="A73">
        <v>72</v>
      </c>
      <c r="B73">
        <v>206387100.921</v>
      </c>
      <c r="C73">
        <v>0</v>
      </c>
      <c r="D73">
        <v>0</v>
      </c>
      <c r="E73" t="s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114</v>
      </c>
    </row>
    <row r="74" spans="1:16" x14ac:dyDescent="0.25">
      <c r="A74">
        <v>73</v>
      </c>
      <c r="B74">
        <v>206387101.171</v>
      </c>
      <c r="C74">
        <v>0</v>
      </c>
      <c r="D74">
        <v>0</v>
      </c>
      <c r="E74" t="s">
        <v>42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115</v>
      </c>
    </row>
    <row r="75" spans="1:16" x14ac:dyDescent="0.25">
      <c r="A75">
        <v>74</v>
      </c>
      <c r="B75">
        <v>206387101.421</v>
      </c>
      <c r="C75">
        <v>0</v>
      </c>
      <c r="D75">
        <v>0</v>
      </c>
      <c r="E75" t="s">
        <v>42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116</v>
      </c>
    </row>
    <row r="76" spans="1:16" x14ac:dyDescent="0.25">
      <c r="A76">
        <v>75</v>
      </c>
      <c r="B76">
        <v>206387101.671</v>
      </c>
      <c r="C76">
        <v>0.2</v>
      </c>
      <c r="D76">
        <v>0</v>
      </c>
      <c r="E76" t="s">
        <v>117</v>
      </c>
      <c r="F76">
        <v>4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118</v>
      </c>
    </row>
    <row r="77" spans="1:16" x14ac:dyDescent="0.25">
      <c r="A77">
        <v>76</v>
      </c>
      <c r="B77">
        <v>206387101.921</v>
      </c>
      <c r="C77">
        <v>0</v>
      </c>
      <c r="D77">
        <v>0</v>
      </c>
      <c r="E77" t="s">
        <v>42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119</v>
      </c>
    </row>
    <row r="78" spans="1:16" x14ac:dyDescent="0.25">
      <c r="A78">
        <v>77</v>
      </c>
      <c r="B78">
        <v>206387102.171</v>
      </c>
      <c r="C78">
        <v>0</v>
      </c>
      <c r="D78">
        <v>0</v>
      </c>
      <c r="E78" t="s">
        <v>42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120</v>
      </c>
    </row>
    <row r="79" spans="1:16" x14ac:dyDescent="0.25">
      <c r="A79">
        <v>78</v>
      </c>
      <c r="B79">
        <v>206387102.421</v>
      </c>
      <c r="C79">
        <v>0</v>
      </c>
      <c r="D79">
        <v>0</v>
      </c>
      <c r="E79" t="s">
        <v>42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121</v>
      </c>
    </row>
    <row r="80" spans="1:16" x14ac:dyDescent="0.25">
      <c r="A80">
        <v>79</v>
      </c>
      <c r="B80">
        <v>206387102.671</v>
      </c>
      <c r="C80">
        <v>0</v>
      </c>
      <c r="D80">
        <v>0</v>
      </c>
      <c r="E80" t="s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122</v>
      </c>
    </row>
    <row r="81" spans="1:16" x14ac:dyDescent="0.25">
      <c r="A81">
        <v>80</v>
      </c>
      <c r="B81">
        <v>206387102.921</v>
      </c>
      <c r="C81">
        <v>0</v>
      </c>
      <c r="D81">
        <v>0</v>
      </c>
      <c r="E81" t="s">
        <v>42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123</v>
      </c>
    </row>
    <row r="82" spans="1:16" x14ac:dyDescent="0.25">
      <c r="A82">
        <v>81</v>
      </c>
      <c r="B82">
        <v>206387103.171</v>
      </c>
      <c r="C82">
        <v>0</v>
      </c>
      <c r="D82">
        <v>0</v>
      </c>
      <c r="E82" t="s">
        <v>42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124</v>
      </c>
    </row>
    <row r="83" spans="1:16" x14ac:dyDescent="0.25">
      <c r="A83">
        <v>82</v>
      </c>
      <c r="B83">
        <v>206387103.421</v>
      </c>
      <c r="C83">
        <v>0</v>
      </c>
      <c r="D83">
        <v>0</v>
      </c>
      <c r="E83" t="s">
        <v>42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125</v>
      </c>
    </row>
    <row r="84" spans="1:16" x14ac:dyDescent="0.25">
      <c r="A84">
        <v>83</v>
      </c>
      <c r="B84">
        <v>206387103.421</v>
      </c>
      <c r="C84">
        <v>0.5</v>
      </c>
      <c r="D84">
        <v>1</v>
      </c>
      <c r="E84" t="s">
        <v>87</v>
      </c>
      <c r="F84">
        <v>5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126</v>
      </c>
    </row>
    <row r="85" spans="1:16" x14ac:dyDescent="0.25">
      <c r="A85">
        <v>84</v>
      </c>
      <c r="B85">
        <v>206387103.421</v>
      </c>
      <c r="C85">
        <v>0.5</v>
      </c>
      <c r="D85">
        <v>1</v>
      </c>
      <c r="E85" t="s">
        <v>87</v>
      </c>
      <c r="F85">
        <v>5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126</v>
      </c>
    </row>
    <row r="86" spans="1:16" x14ac:dyDescent="0.25">
      <c r="A86">
        <v>85</v>
      </c>
      <c r="B86">
        <v>206387103.421</v>
      </c>
      <c r="C86">
        <v>0.5</v>
      </c>
      <c r="D86">
        <v>1</v>
      </c>
      <c r="E86" t="s">
        <v>87</v>
      </c>
      <c r="F86">
        <v>5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126</v>
      </c>
    </row>
    <row r="87" spans="1:16" x14ac:dyDescent="0.25">
      <c r="A87">
        <v>86</v>
      </c>
      <c r="B87">
        <v>206387103.421</v>
      </c>
      <c r="C87">
        <v>0.5</v>
      </c>
      <c r="D87">
        <v>1</v>
      </c>
      <c r="E87" t="s">
        <v>87</v>
      </c>
      <c r="F87">
        <v>5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126</v>
      </c>
    </row>
    <row r="88" spans="1:16" x14ac:dyDescent="0.25">
      <c r="A88">
        <v>87</v>
      </c>
      <c r="B88">
        <v>206387103.421</v>
      </c>
      <c r="C88">
        <v>0.5</v>
      </c>
      <c r="D88">
        <v>1</v>
      </c>
      <c r="E88" t="s">
        <v>87</v>
      </c>
      <c r="F88">
        <v>5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126</v>
      </c>
    </row>
    <row r="89" spans="1:16" x14ac:dyDescent="0.25">
      <c r="A89">
        <v>88</v>
      </c>
      <c r="B89">
        <v>206387103.421</v>
      </c>
      <c r="C89">
        <v>0.5</v>
      </c>
      <c r="D89">
        <v>1</v>
      </c>
      <c r="E89" t="s">
        <v>87</v>
      </c>
      <c r="F89">
        <v>5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126</v>
      </c>
    </row>
    <row r="90" spans="1:16" x14ac:dyDescent="0.25">
      <c r="A90">
        <v>89</v>
      </c>
      <c r="B90">
        <v>206387103.421</v>
      </c>
      <c r="C90">
        <v>0.5</v>
      </c>
      <c r="D90">
        <v>1</v>
      </c>
      <c r="E90" t="s">
        <v>87</v>
      </c>
      <c r="F90">
        <v>5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126</v>
      </c>
    </row>
    <row r="91" spans="1:16" x14ac:dyDescent="0.25">
      <c r="A91">
        <v>90</v>
      </c>
      <c r="B91">
        <v>206387103.421</v>
      </c>
      <c r="C91">
        <v>0.5</v>
      </c>
      <c r="D91">
        <v>1</v>
      </c>
      <c r="E91" t="s">
        <v>87</v>
      </c>
      <c r="F91">
        <v>5</v>
      </c>
      <c r="G91">
        <v>1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126</v>
      </c>
    </row>
    <row r="92" spans="1:16" x14ac:dyDescent="0.25">
      <c r="A92">
        <v>91</v>
      </c>
      <c r="B92">
        <v>206387103.421</v>
      </c>
      <c r="C92">
        <v>0.5</v>
      </c>
      <c r="D92">
        <v>1</v>
      </c>
      <c r="E92" t="s">
        <v>87</v>
      </c>
      <c r="F92">
        <v>5</v>
      </c>
      <c r="G92">
        <v>1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126</v>
      </c>
    </row>
    <row r="93" spans="1:16" x14ac:dyDescent="0.25">
      <c r="A93">
        <v>92</v>
      </c>
      <c r="B93">
        <v>206387103.421</v>
      </c>
      <c r="C93">
        <v>0.5</v>
      </c>
      <c r="D93">
        <v>1</v>
      </c>
      <c r="E93" t="s">
        <v>87</v>
      </c>
      <c r="F93">
        <v>5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126</v>
      </c>
    </row>
    <row r="94" spans="1:16" x14ac:dyDescent="0.25">
      <c r="A94">
        <v>93</v>
      </c>
      <c r="B94">
        <v>206387103.421</v>
      </c>
      <c r="C94">
        <v>0.5</v>
      </c>
      <c r="D94">
        <v>1</v>
      </c>
      <c r="E94" t="s">
        <v>87</v>
      </c>
      <c r="F94">
        <v>5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126</v>
      </c>
    </row>
    <row r="95" spans="1:16" x14ac:dyDescent="0.25">
      <c r="A95">
        <v>94</v>
      </c>
      <c r="B95">
        <v>206387103.421</v>
      </c>
      <c r="C95">
        <v>0.5</v>
      </c>
      <c r="D95">
        <v>1</v>
      </c>
      <c r="E95" t="s">
        <v>87</v>
      </c>
      <c r="F95">
        <v>5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126</v>
      </c>
    </row>
    <row r="96" spans="1:16" x14ac:dyDescent="0.25">
      <c r="A96">
        <v>95</v>
      </c>
      <c r="B96">
        <v>206387103.421</v>
      </c>
      <c r="C96">
        <v>0.5</v>
      </c>
      <c r="D96">
        <v>1</v>
      </c>
      <c r="E96" t="s">
        <v>87</v>
      </c>
      <c r="F96">
        <v>5</v>
      </c>
      <c r="G96">
        <v>1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126</v>
      </c>
    </row>
    <row r="97" spans="1:16" x14ac:dyDescent="0.25">
      <c r="A97">
        <v>96</v>
      </c>
      <c r="B97">
        <v>206387103.421</v>
      </c>
      <c r="C97">
        <v>0.5</v>
      </c>
      <c r="D97">
        <v>1</v>
      </c>
      <c r="E97" t="s">
        <v>87</v>
      </c>
      <c r="F97">
        <v>5</v>
      </c>
      <c r="G97">
        <v>1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126</v>
      </c>
    </row>
    <row r="98" spans="1:16" x14ac:dyDescent="0.25">
      <c r="A98">
        <v>97</v>
      </c>
      <c r="B98">
        <v>206387103.421</v>
      </c>
      <c r="C98">
        <v>0.5</v>
      </c>
      <c r="D98">
        <v>1</v>
      </c>
      <c r="E98" t="s">
        <v>87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126</v>
      </c>
    </row>
    <row r="99" spans="1:16" x14ac:dyDescent="0.25">
      <c r="A99">
        <v>98</v>
      </c>
      <c r="B99">
        <v>206387103.421</v>
      </c>
      <c r="C99">
        <v>0.5</v>
      </c>
      <c r="D99">
        <v>1</v>
      </c>
      <c r="E99" t="s">
        <v>87</v>
      </c>
      <c r="F99">
        <v>5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126</v>
      </c>
    </row>
    <row r="100" spans="1:16" x14ac:dyDescent="0.25">
      <c r="A100">
        <v>99</v>
      </c>
      <c r="B100">
        <v>206387103.421</v>
      </c>
      <c r="C100">
        <v>0.5</v>
      </c>
      <c r="D100">
        <v>1</v>
      </c>
      <c r="E100" t="s">
        <v>87</v>
      </c>
      <c r="F100">
        <v>5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126</v>
      </c>
    </row>
    <row r="101" spans="1:16" x14ac:dyDescent="0.25">
      <c r="A101">
        <v>100</v>
      </c>
      <c r="B101">
        <v>206387103.421</v>
      </c>
      <c r="C101">
        <v>0.5</v>
      </c>
      <c r="D101">
        <v>1</v>
      </c>
      <c r="E101" t="s">
        <v>87</v>
      </c>
      <c r="F101">
        <v>5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126</v>
      </c>
    </row>
    <row r="102" spans="1:16" x14ac:dyDescent="0.25">
      <c r="A102">
        <v>101</v>
      </c>
      <c r="B102">
        <v>206387103.421</v>
      </c>
      <c r="C102">
        <v>0.5</v>
      </c>
      <c r="D102">
        <v>1</v>
      </c>
      <c r="E102" t="s">
        <v>87</v>
      </c>
      <c r="F102">
        <v>5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126</v>
      </c>
    </row>
    <row r="103" spans="1:16" x14ac:dyDescent="0.25">
      <c r="A103">
        <v>102</v>
      </c>
      <c r="B103">
        <v>206387103.421</v>
      </c>
      <c r="C103">
        <v>0.5</v>
      </c>
      <c r="D103">
        <v>1</v>
      </c>
      <c r="E103" t="s">
        <v>87</v>
      </c>
      <c r="F103">
        <v>5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126</v>
      </c>
    </row>
    <row r="104" spans="1:16" x14ac:dyDescent="0.25">
      <c r="A104">
        <v>103</v>
      </c>
      <c r="B104">
        <v>206387103.421</v>
      </c>
      <c r="C104">
        <v>0.5</v>
      </c>
      <c r="D104">
        <v>1</v>
      </c>
      <c r="E104" t="s">
        <v>87</v>
      </c>
      <c r="F104">
        <v>5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126</v>
      </c>
    </row>
    <row r="105" spans="1:16" x14ac:dyDescent="0.25">
      <c r="A105">
        <v>104</v>
      </c>
      <c r="B105">
        <v>206387103.421</v>
      </c>
      <c r="C105">
        <v>0.5</v>
      </c>
      <c r="D105">
        <v>1</v>
      </c>
      <c r="E105" t="s">
        <v>87</v>
      </c>
      <c r="F105">
        <v>5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126</v>
      </c>
    </row>
    <row r="106" spans="1:16" x14ac:dyDescent="0.25">
      <c r="A106">
        <v>105</v>
      </c>
      <c r="B106">
        <v>206387103.421</v>
      </c>
      <c r="C106">
        <v>0.5</v>
      </c>
      <c r="D106">
        <v>1</v>
      </c>
      <c r="E106" t="s">
        <v>87</v>
      </c>
      <c r="F106">
        <v>5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126</v>
      </c>
    </row>
    <row r="107" spans="1:16" x14ac:dyDescent="0.25">
      <c r="A107">
        <v>106</v>
      </c>
      <c r="B107">
        <v>206387103.421</v>
      </c>
      <c r="C107">
        <v>0.5</v>
      </c>
      <c r="D107">
        <v>1</v>
      </c>
      <c r="E107" t="s">
        <v>87</v>
      </c>
      <c r="F107">
        <v>5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126</v>
      </c>
    </row>
    <row r="108" spans="1:16" x14ac:dyDescent="0.25">
      <c r="A108">
        <v>107</v>
      </c>
      <c r="B108">
        <v>206387103.421</v>
      </c>
      <c r="C108">
        <v>0.5</v>
      </c>
      <c r="D108">
        <v>1</v>
      </c>
      <c r="E108" t="s">
        <v>87</v>
      </c>
      <c r="F108">
        <v>5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126</v>
      </c>
    </row>
    <row r="109" spans="1:16" x14ac:dyDescent="0.25">
      <c r="A109">
        <v>108</v>
      </c>
      <c r="B109">
        <v>206387103.421</v>
      </c>
      <c r="C109">
        <v>0.5</v>
      </c>
      <c r="D109">
        <v>1</v>
      </c>
      <c r="E109" t="s">
        <v>87</v>
      </c>
      <c r="F109">
        <v>5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126</v>
      </c>
    </row>
    <row r="110" spans="1:16" x14ac:dyDescent="0.25">
      <c r="A110">
        <v>109</v>
      </c>
      <c r="B110">
        <v>206387103.421</v>
      </c>
      <c r="C110">
        <v>0.5</v>
      </c>
      <c r="D110">
        <v>1</v>
      </c>
      <c r="E110" t="s">
        <v>87</v>
      </c>
      <c r="F110">
        <v>5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126</v>
      </c>
    </row>
    <row r="111" spans="1:16" x14ac:dyDescent="0.25">
      <c r="A111">
        <v>110</v>
      </c>
      <c r="B111">
        <v>206387103.421</v>
      </c>
      <c r="C111">
        <v>0.5</v>
      </c>
      <c r="D111">
        <v>1</v>
      </c>
      <c r="E111" t="s">
        <v>87</v>
      </c>
      <c r="F111">
        <v>5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126</v>
      </c>
    </row>
    <row r="112" spans="1:16" x14ac:dyDescent="0.25">
      <c r="A112">
        <v>111</v>
      </c>
      <c r="B112">
        <v>206387103.421</v>
      </c>
      <c r="C112">
        <v>0.5</v>
      </c>
      <c r="D112">
        <v>1</v>
      </c>
      <c r="E112" t="s">
        <v>87</v>
      </c>
      <c r="F112">
        <v>5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126</v>
      </c>
    </row>
    <row r="113" spans="1:16" x14ac:dyDescent="0.25">
      <c r="A113">
        <v>112</v>
      </c>
      <c r="B113">
        <v>206387103.421</v>
      </c>
      <c r="C113">
        <v>0.5</v>
      </c>
      <c r="D113">
        <v>1</v>
      </c>
      <c r="E113" t="s">
        <v>87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126</v>
      </c>
    </row>
    <row r="114" spans="1:16" x14ac:dyDescent="0.25">
      <c r="A114">
        <v>113</v>
      </c>
      <c r="B114">
        <v>206387103.421</v>
      </c>
      <c r="C114">
        <v>0.5</v>
      </c>
      <c r="D114">
        <v>1</v>
      </c>
      <c r="E114" t="s">
        <v>87</v>
      </c>
      <c r="F114">
        <v>5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126</v>
      </c>
    </row>
    <row r="115" spans="1:16" x14ac:dyDescent="0.25">
      <c r="A115">
        <v>114</v>
      </c>
      <c r="B115">
        <v>206387103.421</v>
      </c>
      <c r="C115">
        <v>0.5</v>
      </c>
      <c r="D115">
        <v>1</v>
      </c>
      <c r="E115" t="s">
        <v>87</v>
      </c>
      <c r="F115">
        <v>5</v>
      </c>
      <c r="G115">
        <v>1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126</v>
      </c>
    </row>
    <row r="116" spans="1:16" x14ac:dyDescent="0.25">
      <c r="A116">
        <v>115</v>
      </c>
      <c r="B116">
        <v>206387103.421</v>
      </c>
      <c r="C116">
        <v>0.5</v>
      </c>
      <c r="D116">
        <v>1</v>
      </c>
      <c r="E116" t="s">
        <v>87</v>
      </c>
      <c r="F116">
        <v>5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126</v>
      </c>
    </row>
    <row r="117" spans="1:16" x14ac:dyDescent="0.25">
      <c r="A117">
        <v>116</v>
      </c>
      <c r="B117">
        <v>206387103.421</v>
      </c>
      <c r="C117">
        <v>0.5</v>
      </c>
      <c r="D117">
        <v>1</v>
      </c>
      <c r="E117" t="s">
        <v>87</v>
      </c>
      <c r="F117">
        <v>5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126</v>
      </c>
    </row>
    <row r="118" spans="1:16" x14ac:dyDescent="0.25">
      <c r="A118">
        <v>117</v>
      </c>
      <c r="B118">
        <v>206387103.421</v>
      </c>
      <c r="C118">
        <v>0.5</v>
      </c>
      <c r="D118">
        <v>1</v>
      </c>
      <c r="E118" t="s">
        <v>87</v>
      </c>
      <c r="F118">
        <v>5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126</v>
      </c>
    </row>
    <row r="119" spans="1:16" x14ac:dyDescent="0.25">
      <c r="A119">
        <v>118</v>
      </c>
      <c r="B119">
        <v>206387103.421</v>
      </c>
      <c r="C119">
        <v>0.5</v>
      </c>
      <c r="D119">
        <v>1</v>
      </c>
      <c r="E119" t="s">
        <v>87</v>
      </c>
      <c r="F119">
        <v>5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126</v>
      </c>
    </row>
    <row r="120" spans="1:16" x14ac:dyDescent="0.25">
      <c r="A120">
        <v>119</v>
      </c>
      <c r="B120">
        <v>206387103.421</v>
      </c>
      <c r="C120">
        <v>0.5</v>
      </c>
      <c r="D120">
        <v>1</v>
      </c>
      <c r="E120" t="s">
        <v>87</v>
      </c>
      <c r="F120">
        <v>5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126</v>
      </c>
    </row>
    <row r="121" spans="1:16" x14ac:dyDescent="0.25">
      <c r="A121">
        <v>120</v>
      </c>
      <c r="B121">
        <v>206387103.421</v>
      </c>
      <c r="C121">
        <v>0.5</v>
      </c>
      <c r="D121">
        <v>1</v>
      </c>
      <c r="E121" t="s">
        <v>87</v>
      </c>
      <c r="F121">
        <v>5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126</v>
      </c>
    </row>
    <row r="122" spans="1:16" x14ac:dyDescent="0.25">
      <c r="A122">
        <v>121</v>
      </c>
      <c r="B122">
        <v>206387103.421</v>
      </c>
      <c r="C122">
        <v>0.5</v>
      </c>
      <c r="D122">
        <v>1</v>
      </c>
      <c r="E122" t="s">
        <v>87</v>
      </c>
      <c r="F122">
        <v>5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126</v>
      </c>
    </row>
    <row r="123" spans="1:16" x14ac:dyDescent="0.25">
      <c r="A123">
        <v>122</v>
      </c>
      <c r="B123">
        <v>206387103.421</v>
      </c>
      <c r="C123">
        <v>0.5</v>
      </c>
      <c r="D123">
        <v>1</v>
      </c>
      <c r="E123" t="s">
        <v>87</v>
      </c>
      <c r="F123">
        <v>5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126</v>
      </c>
    </row>
    <row r="124" spans="1:16" x14ac:dyDescent="0.25">
      <c r="A124">
        <v>123</v>
      </c>
      <c r="B124">
        <v>206387103.421</v>
      </c>
      <c r="C124">
        <v>0.5</v>
      </c>
      <c r="D124">
        <v>1</v>
      </c>
      <c r="E124" t="s">
        <v>87</v>
      </c>
      <c r="F124">
        <v>5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126</v>
      </c>
    </row>
    <row r="125" spans="1:16" x14ac:dyDescent="0.25">
      <c r="A125">
        <v>124</v>
      </c>
      <c r="B125">
        <v>206387103.421</v>
      </c>
      <c r="C125">
        <v>0.5</v>
      </c>
      <c r="D125">
        <v>1</v>
      </c>
      <c r="E125" t="s">
        <v>87</v>
      </c>
      <c r="F125">
        <v>5</v>
      </c>
      <c r="G125">
        <v>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126</v>
      </c>
    </row>
    <row r="126" spans="1:16" x14ac:dyDescent="0.25">
      <c r="A126">
        <v>125</v>
      </c>
      <c r="B126">
        <v>206387103.421</v>
      </c>
      <c r="C126">
        <v>0.5</v>
      </c>
      <c r="D126">
        <v>1</v>
      </c>
      <c r="E126" t="s">
        <v>87</v>
      </c>
      <c r="F126">
        <v>5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126</v>
      </c>
    </row>
    <row r="127" spans="1:16" x14ac:dyDescent="0.25">
      <c r="A127">
        <v>126</v>
      </c>
      <c r="B127">
        <v>206387103.421</v>
      </c>
      <c r="C127">
        <v>0.5</v>
      </c>
      <c r="D127">
        <v>1</v>
      </c>
      <c r="E127" t="s">
        <v>87</v>
      </c>
      <c r="F127">
        <v>5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126</v>
      </c>
    </row>
    <row r="128" spans="1:16" x14ac:dyDescent="0.25">
      <c r="A128">
        <v>127</v>
      </c>
      <c r="B128">
        <v>206387103.421</v>
      </c>
      <c r="C128">
        <v>0.5</v>
      </c>
      <c r="D128">
        <v>1</v>
      </c>
      <c r="E128" t="s">
        <v>87</v>
      </c>
      <c r="F128">
        <v>5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126</v>
      </c>
    </row>
    <row r="129" spans="1:16" x14ac:dyDescent="0.25">
      <c r="A129">
        <v>128</v>
      </c>
      <c r="B129">
        <v>206387103.421</v>
      </c>
      <c r="C129">
        <v>0.5</v>
      </c>
      <c r="D129">
        <v>1</v>
      </c>
      <c r="E129" t="s">
        <v>87</v>
      </c>
      <c r="F129">
        <v>5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126</v>
      </c>
    </row>
    <row r="130" spans="1:16" x14ac:dyDescent="0.25">
      <c r="A130">
        <v>129</v>
      </c>
      <c r="B130">
        <v>206387103.421</v>
      </c>
      <c r="C130">
        <v>0.5</v>
      </c>
      <c r="D130">
        <v>1</v>
      </c>
      <c r="E130" t="s">
        <v>87</v>
      </c>
      <c r="F130">
        <v>5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126</v>
      </c>
    </row>
    <row r="131" spans="1:16" x14ac:dyDescent="0.25">
      <c r="A131">
        <v>130</v>
      </c>
      <c r="B131">
        <v>206387103.421</v>
      </c>
      <c r="C131">
        <v>0.5</v>
      </c>
      <c r="D131">
        <v>1</v>
      </c>
      <c r="E131" t="s">
        <v>87</v>
      </c>
      <c r="F131">
        <v>5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126</v>
      </c>
    </row>
    <row r="132" spans="1:16" x14ac:dyDescent="0.25">
      <c r="A132">
        <v>131</v>
      </c>
      <c r="B132">
        <v>206387103.421</v>
      </c>
      <c r="C132">
        <v>0.5</v>
      </c>
      <c r="D132">
        <v>1</v>
      </c>
      <c r="E132" t="s">
        <v>87</v>
      </c>
      <c r="F132">
        <v>5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126</v>
      </c>
    </row>
    <row r="133" spans="1:16" x14ac:dyDescent="0.25">
      <c r="A133">
        <v>132</v>
      </c>
      <c r="B133">
        <v>206387103.421</v>
      </c>
      <c r="C133">
        <v>0.5</v>
      </c>
      <c r="D133">
        <v>1</v>
      </c>
      <c r="E133" t="s">
        <v>87</v>
      </c>
      <c r="F133">
        <v>5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126</v>
      </c>
    </row>
    <row r="134" spans="1:16" x14ac:dyDescent="0.25">
      <c r="A134">
        <v>133</v>
      </c>
      <c r="B134">
        <v>206387103.421</v>
      </c>
      <c r="C134">
        <v>0.5</v>
      </c>
      <c r="D134">
        <v>1</v>
      </c>
      <c r="E134" t="s">
        <v>87</v>
      </c>
      <c r="F134">
        <v>5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126</v>
      </c>
    </row>
    <row r="135" spans="1:16" x14ac:dyDescent="0.25">
      <c r="A135">
        <v>134</v>
      </c>
      <c r="B135">
        <v>206387103.421</v>
      </c>
      <c r="C135">
        <v>0.5</v>
      </c>
      <c r="D135">
        <v>1</v>
      </c>
      <c r="E135" t="s">
        <v>87</v>
      </c>
      <c r="F135">
        <v>5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126</v>
      </c>
    </row>
    <row r="136" spans="1:16" x14ac:dyDescent="0.25">
      <c r="A136">
        <v>135</v>
      </c>
      <c r="B136">
        <v>206387103.421</v>
      </c>
      <c r="C136">
        <v>0.5</v>
      </c>
      <c r="D136">
        <v>1</v>
      </c>
      <c r="E136" t="s">
        <v>87</v>
      </c>
      <c r="F136">
        <v>5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126</v>
      </c>
    </row>
    <row r="137" spans="1:16" x14ac:dyDescent="0.25">
      <c r="A137">
        <v>136</v>
      </c>
      <c r="B137">
        <v>206387103.421</v>
      </c>
      <c r="C137">
        <v>0.5</v>
      </c>
      <c r="D137">
        <v>1</v>
      </c>
      <c r="E137" t="s">
        <v>87</v>
      </c>
      <c r="F137">
        <v>5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126</v>
      </c>
    </row>
    <row r="138" spans="1:16" x14ac:dyDescent="0.25">
      <c r="A138">
        <v>137</v>
      </c>
      <c r="B138">
        <v>206387103.421</v>
      </c>
      <c r="C138">
        <v>0.5</v>
      </c>
      <c r="D138">
        <v>1</v>
      </c>
      <c r="E138" t="s">
        <v>87</v>
      </c>
      <c r="F138">
        <v>5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126</v>
      </c>
    </row>
    <row r="139" spans="1:16" x14ac:dyDescent="0.25">
      <c r="A139">
        <v>138</v>
      </c>
      <c r="B139">
        <v>206387103.421</v>
      </c>
      <c r="C139">
        <v>0.5</v>
      </c>
      <c r="D139">
        <v>1</v>
      </c>
      <c r="E139" t="s">
        <v>87</v>
      </c>
      <c r="F139">
        <v>5</v>
      </c>
      <c r="G139">
        <v>1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126</v>
      </c>
    </row>
    <row r="140" spans="1:16" x14ac:dyDescent="0.25">
      <c r="A140">
        <v>139</v>
      </c>
      <c r="B140">
        <v>206387103.421</v>
      </c>
      <c r="C140">
        <v>0.5</v>
      </c>
      <c r="D140">
        <v>1</v>
      </c>
      <c r="E140" t="s">
        <v>87</v>
      </c>
      <c r="F140">
        <v>5</v>
      </c>
      <c r="G140">
        <v>1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126</v>
      </c>
    </row>
    <row r="141" spans="1:16" x14ac:dyDescent="0.25">
      <c r="A141">
        <v>140</v>
      </c>
      <c r="B141">
        <v>206387103.421</v>
      </c>
      <c r="C141">
        <v>0.5</v>
      </c>
      <c r="D141">
        <v>1</v>
      </c>
      <c r="E141" t="s">
        <v>87</v>
      </c>
      <c r="F141">
        <v>5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126</v>
      </c>
    </row>
    <row r="142" spans="1:16" x14ac:dyDescent="0.25">
      <c r="A142">
        <v>141</v>
      </c>
      <c r="B142">
        <v>206387103.421</v>
      </c>
      <c r="C142">
        <v>0.5</v>
      </c>
      <c r="D142">
        <v>1</v>
      </c>
      <c r="E142" t="s">
        <v>87</v>
      </c>
      <c r="F142">
        <v>5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126</v>
      </c>
    </row>
    <row r="143" spans="1:16" x14ac:dyDescent="0.25">
      <c r="A143">
        <v>142</v>
      </c>
      <c r="B143">
        <v>206387103.421</v>
      </c>
      <c r="C143">
        <v>0.5</v>
      </c>
      <c r="D143">
        <v>1</v>
      </c>
      <c r="E143" t="s">
        <v>87</v>
      </c>
      <c r="F143">
        <v>5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126</v>
      </c>
    </row>
    <row r="144" spans="1:16" x14ac:dyDescent="0.25">
      <c r="A144">
        <v>143</v>
      </c>
      <c r="B144">
        <v>206387103.421</v>
      </c>
      <c r="C144">
        <v>0.5</v>
      </c>
      <c r="D144">
        <v>1</v>
      </c>
      <c r="E144" t="s">
        <v>87</v>
      </c>
      <c r="F144">
        <v>5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126</v>
      </c>
    </row>
    <row r="145" spans="1:16" x14ac:dyDescent="0.25">
      <c r="A145">
        <v>144</v>
      </c>
      <c r="B145">
        <v>206387103.421</v>
      </c>
      <c r="C145">
        <v>0.5</v>
      </c>
      <c r="D145">
        <v>1</v>
      </c>
      <c r="E145" t="s">
        <v>87</v>
      </c>
      <c r="F145">
        <v>5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126</v>
      </c>
    </row>
    <row r="146" spans="1:16" x14ac:dyDescent="0.25">
      <c r="A146">
        <v>145</v>
      </c>
      <c r="B146">
        <v>206387103.421</v>
      </c>
      <c r="C146">
        <v>0.5</v>
      </c>
      <c r="D146">
        <v>1</v>
      </c>
      <c r="E146" t="s">
        <v>87</v>
      </c>
      <c r="F146">
        <v>5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126</v>
      </c>
    </row>
    <row r="147" spans="1:16" x14ac:dyDescent="0.25">
      <c r="A147">
        <v>146</v>
      </c>
      <c r="B147">
        <v>206387103.421</v>
      </c>
      <c r="C147">
        <v>0.5</v>
      </c>
      <c r="D147">
        <v>1</v>
      </c>
      <c r="E147" t="s">
        <v>87</v>
      </c>
      <c r="F147">
        <v>5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126</v>
      </c>
    </row>
    <row r="148" spans="1:16" x14ac:dyDescent="0.25">
      <c r="A148">
        <v>147</v>
      </c>
      <c r="B148">
        <v>206387103.421</v>
      </c>
      <c r="C148">
        <v>0.5</v>
      </c>
      <c r="D148">
        <v>1</v>
      </c>
      <c r="E148" t="s">
        <v>87</v>
      </c>
      <c r="F148">
        <v>5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126</v>
      </c>
    </row>
    <row r="149" spans="1:16" x14ac:dyDescent="0.25">
      <c r="A149">
        <v>148</v>
      </c>
      <c r="B149">
        <v>206387103.421</v>
      </c>
      <c r="C149">
        <v>0.5</v>
      </c>
      <c r="D149">
        <v>1</v>
      </c>
      <c r="E149" t="s">
        <v>87</v>
      </c>
      <c r="F149">
        <v>5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126</v>
      </c>
    </row>
    <row r="150" spans="1:16" x14ac:dyDescent="0.25">
      <c r="A150">
        <v>149</v>
      </c>
      <c r="B150">
        <v>206387103.421</v>
      </c>
      <c r="C150">
        <v>0.5</v>
      </c>
      <c r="D150">
        <v>1</v>
      </c>
      <c r="E150" t="s">
        <v>87</v>
      </c>
      <c r="F150">
        <v>5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126</v>
      </c>
    </row>
    <row r="151" spans="1:16" x14ac:dyDescent="0.25">
      <c r="A151">
        <v>150</v>
      </c>
      <c r="B151">
        <v>206387103.421</v>
      </c>
      <c r="C151">
        <v>0.5</v>
      </c>
      <c r="D151">
        <v>1</v>
      </c>
      <c r="E151" t="s">
        <v>87</v>
      </c>
      <c r="F151">
        <v>5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126</v>
      </c>
    </row>
    <row r="152" spans="1:16" x14ac:dyDescent="0.25">
      <c r="A152">
        <v>151</v>
      </c>
      <c r="B152">
        <v>206387103.421</v>
      </c>
      <c r="C152">
        <v>0.5</v>
      </c>
      <c r="D152">
        <v>1</v>
      </c>
      <c r="E152" t="s">
        <v>87</v>
      </c>
      <c r="F152">
        <v>5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126</v>
      </c>
    </row>
    <row r="153" spans="1:16" x14ac:dyDescent="0.25">
      <c r="A153">
        <v>152</v>
      </c>
      <c r="B153">
        <v>206387103.421</v>
      </c>
      <c r="C153">
        <v>0.5</v>
      </c>
      <c r="D153">
        <v>1</v>
      </c>
      <c r="E153" t="s">
        <v>87</v>
      </c>
      <c r="F153">
        <v>5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126</v>
      </c>
    </row>
    <row r="154" spans="1:16" x14ac:dyDescent="0.25">
      <c r="A154">
        <v>153</v>
      </c>
      <c r="B154">
        <v>206387103.421</v>
      </c>
      <c r="C154">
        <v>0.5</v>
      </c>
      <c r="D154">
        <v>1</v>
      </c>
      <c r="E154" t="s">
        <v>87</v>
      </c>
      <c r="F154">
        <v>5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126</v>
      </c>
    </row>
    <row r="155" spans="1:16" x14ac:dyDescent="0.25">
      <c r="A155">
        <v>154</v>
      </c>
      <c r="B155">
        <v>206387103.421</v>
      </c>
      <c r="C155">
        <v>0.5</v>
      </c>
      <c r="D155">
        <v>1</v>
      </c>
      <c r="E155" t="s">
        <v>87</v>
      </c>
      <c r="F155">
        <v>5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126</v>
      </c>
    </row>
    <row r="156" spans="1:16" x14ac:dyDescent="0.25">
      <c r="A156">
        <v>155</v>
      </c>
      <c r="B156">
        <v>206387103.421</v>
      </c>
      <c r="C156">
        <v>0.5</v>
      </c>
      <c r="D156">
        <v>1</v>
      </c>
      <c r="E156" t="s">
        <v>87</v>
      </c>
      <c r="F156">
        <v>5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126</v>
      </c>
    </row>
    <row r="157" spans="1:16" x14ac:dyDescent="0.25">
      <c r="A157">
        <v>156</v>
      </c>
      <c r="B157">
        <v>206387103.421</v>
      </c>
      <c r="C157">
        <v>0.5</v>
      </c>
      <c r="D157">
        <v>1</v>
      </c>
      <c r="E157" t="s">
        <v>87</v>
      </c>
      <c r="F157">
        <v>5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126</v>
      </c>
    </row>
    <row r="158" spans="1:16" x14ac:dyDescent="0.25">
      <c r="A158">
        <v>157</v>
      </c>
      <c r="B158">
        <v>206387103.421</v>
      </c>
      <c r="C158">
        <v>0.5</v>
      </c>
      <c r="D158">
        <v>1</v>
      </c>
      <c r="E158" t="s">
        <v>87</v>
      </c>
      <c r="F158">
        <v>5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126</v>
      </c>
    </row>
    <row r="159" spans="1:16" x14ac:dyDescent="0.25">
      <c r="A159">
        <v>158</v>
      </c>
      <c r="B159">
        <v>206387103.421</v>
      </c>
      <c r="C159">
        <v>0.5</v>
      </c>
      <c r="D159">
        <v>1</v>
      </c>
      <c r="E159" t="s">
        <v>87</v>
      </c>
      <c r="F159">
        <v>5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126</v>
      </c>
    </row>
    <row r="160" spans="1:16" x14ac:dyDescent="0.25">
      <c r="A160">
        <v>159</v>
      </c>
      <c r="B160">
        <v>206387103.421</v>
      </c>
      <c r="C160">
        <v>0.5</v>
      </c>
      <c r="D160">
        <v>1</v>
      </c>
      <c r="E160" t="s">
        <v>87</v>
      </c>
      <c r="F160">
        <v>5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126</v>
      </c>
    </row>
    <row r="161" spans="1:16" x14ac:dyDescent="0.25">
      <c r="A161">
        <v>160</v>
      </c>
      <c r="B161">
        <v>206387103.421</v>
      </c>
      <c r="C161">
        <v>0.5</v>
      </c>
      <c r="D161">
        <v>1</v>
      </c>
      <c r="E161" t="s">
        <v>87</v>
      </c>
      <c r="F161">
        <v>5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126</v>
      </c>
    </row>
    <row r="162" spans="1:16" x14ac:dyDescent="0.25">
      <c r="A162">
        <v>161</v>
      </c>
      <c r="B162">
        <v>206387103.421</v>
      </c>
      <c r="C162">
        <v>0.5</v>
      </c>
      <c r="D162">
        <v>1</v>
      </c>
      <c r="E162" t="s">
        <v>87</v>
      </c>
      <c r="F162">
        <v>5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126</v>
      </c>
    </row>
    <row r="163" spans="1:16" x14ac:dyDescent="0.25">
      <c r="A163">
        <v>162</v>
      </c>
      <c r="B163">
        <v>206387103.421</v>
      </c>
      <c r="C163">
        <v>0.5</v>
      </c>
      <c r="D163">
        <v>1</v>
      </c>
      <c r="E163" t="s">
        <v>87</v>
      </c>
      <c r="F163">
        <v>5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126</v>
      </c>
    </row>
    <row r="164" spans="1:16" x14ac:dyDescent="0.25">
      <c r="A164">
        <v>163</v>
      </c>
      <c r="B164">
        <v>206387103.421</v>
      </c>
      <c r="C164">
        <v>0.5</v>
      </c>
      <c r="D164">
        <v>1</v>
      </c>
      <c r="E164" t="s">
        <v>87</v>
      </c>
      <c r="F164">
        <v>5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126</v>
      </c>
    </row>
    <row r="165" spans="1:16" x14ac:dyDescent="0.25">
      <c r="A165">
        <v>164</v>
      </c>
      <c r="B165">
        <v>206387103.421</v>
      </c>
      <c r="C165">
        <v>0.5</v>
      </c>
      <c r="D165">
        <v>1</v>
      </c>
      <c r="E165" t="s">
        <v>87</v>
      </c>
      <c r="F165">
        <v>5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126</v>
      </c>
    </row>
    <row r="166" spans="1:16" x14ac:dyDescent="0.25">
      <c r="A166">
        <v>165</v>
      </c>
      <c r="B166">
        <v>206387103.421</v>
      </c>
      <c r="C166">
        <v>0.5</v>
      </c>
      <c r="D166">
        <v>1</v>
      </c>
      <c r="E166" t="s">
        <v>87</v>
      </c>
      <c r="F166">
        <v>5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126</v>
      </c>
    </row>
    <row r="167" spans="1:16" x14ac:dyDescent="0.25">
      <c r="A167">
        <v>166</v>
      </c>
      <c r="B167">
        <v>206387103.421</v>
      </c>
      <c r="C167">
        <v>0.5</v>
      </c>
      <c r="D167">
        <v>1</v>
      </c>
      <c r="E167" t="s">
        <v>87</v>
      </c>
      <c r="F167">
        <v>5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126</v>
      </c>
    </row>
    <row r="168" spans="1:16" x14ac:dyDescent="0.25">
      <c r="A168">
        <v>167</v>
      </c>
      <c r="B168">
        <v>206387103.421</v>
      </c>
      <c r="C168">
        <v>0.5</v>
      </c>
      <c r="D168">
        <v>1</v>
      </c>
      <c r="E168" t="s">
        <v>87</v>
      </c>
      <c r="F168">
        <v>5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126</v>
      </c>
    </row>
    <row r="169" spans="1:16" x14ac:dyDescent="0.25">
      <c r="A169">
        <v>168</v>
      </c>
      <c r="B169">
        <v>206387103.421</v>
      </c>
      <c r="C169">
        <v>0.5</v>
      </c>
      <c r="D169">
        <v>1</v>
      </c>
      <c r="E169" t="s">
        <v>87</v>
      </c>
      <c r="F169">
        <v>5</v>
      </c>
      <c r="G169">
        <v>1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126</v>
      </c>
    </row>
    <row r="170" spans="1:16" x14ac:dyDescent="0.25">
      <c r="A170">
        <v>169</v>
      </c>
      <c r="B170">
        <v>206387103.421</v>
      </c>
      <c r="C170">
        <v>0.5</v>
      </c>
      <c r="D170">
        <v>1</v>
      </c>
      <c r="E170" t="s">
        <v>87</v>
      </c>
      <c r="F170">
        <v>5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126</v>
      </c>
    </row>
    <row r="171" spans="1:16" x14ac:dyDescent="0.25">
      <c r="A171">
        <v>170</v>
      </c>
      <c r="B171">
        <v>206387103.421</v>
      </c>
      <c r="C171">
        <v>0.5</v>
      </c>
      <c r="D171">
        <v>1</v>
      </c>
      <c r="E171" t="s">
        <v>87</v>
      </c>
      <c r="F171">
        <v>5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126</v>
      </c>
    </row>
    <row r="172" spans="1:16" x14ac:dyDescent="0.25">
      <c r="A172">
        <v>171</v>
      </c>
      <c r="B172">
        <v>206387103.421</v>
      </c>
      <c r="C172">
        <v>0.5</v>
      </c>
      <c r="D172">
        <v>1</v>
      </c>
      <c r="E172" t="s">
        <v>87</v>
      </c>
      <c r="F172">
        <v>5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126</v>
      </c>
    </row>
    <row r="173" spans="1:16" x14ac:dyDescent="0.25">
      <c r="A173">
        <v>172</v>
      </c>
      <c r="B173">
        <v>206387103.421</v>
      </c>
      <c r="C173">
        <v>0.5</v>
      </c>
      <c r="D173">
        <v>1</v>
      </c>
      <c r="E173" t="s">
        <v>87</v>
      </c>
      <c r="F173">
        <v>5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126</v>
      </c>
    </row>
    <row r="174" spans="1:16" x14ac:dyDescent="0.25">
      <c r="A174">
        <v>173</v>
      </c>
      <c r="B174">
        <v>206387103.421</v>
      </c>
      <c r="C174">
        <v>0.5</v>
      </c>
      <c r="D174">
        <v>1</v>
      </c>
      <c r="E174" t="s">
        <v>87</v>
      </c>
      <c r="F174">
        <v>5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126</v>
      </c>
    </row>
    <row r="175" spans="1:16" x14ac:dyDescent="0.25">
      <c r="A175">
        <v>174</v>
      </c>
      <c r="B175">
        <v>206387103.421</v>
      </c>
      <c r="C175">
        <v>0.5</v>
      </c>
      <c r="D175">
        <v>1</v>
      </c>
      <c r="E175" t="s">
        <v>87</v>
      </c>
      <c r="F175">
        <v>5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126</v>
      </c>
    </row>
    <row r="176" spans="1:16" x14ac:dyDescent="0.25">
      <c r="A176">
        <v>175</v>
      </c>
      <c r="B176">
        <v>206387103.421</v>
      </c>
      <c r="C176">
        <v>0.5</v>
      </c>
      <c r="D176">
        <v>1</v>
      </c>
      <c r="E176" t="s">
        <v>87</v>
      </c>
      <c r="F176">
        <v>5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126</v>
      </c>
    </row>
    <row r="177" spans="1:16" x14ac:dyDescent="0.25">
      <c r="A177">
        <v>176</v>
      </c>
      <c r="B177">
        <v>206387103.421</v>
      </c>
      <c r="C177">
        <v>0.5</v>
      </c>
      <c r="D177">
        <v>1</v>
      </c>
      <c r="E177" t="s">
        <v>87</v>
      </c>
      <c r="F177">
        <v>5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126</v>
      </c>
    </row>
    <row r="178" spans="1:16" x14ac:dyDescent="0.25">
      <c r="A178">
        <v>177</v>
      </c>
      <c r="B178">
        <v>206387103.421</v>
      </c>
      <c r="C178">
        <v>0.5</v>
      </c>
      <c r="D178">
        <v>1</v>
      </c>
      <c r="E178" t="s">
        <v>87</v>
      </c>
      <c r="F178">
        <v>5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126</v>
      </c>
    </row>
    <row r="179" spans="1:16" x14ac:dyDescent="0.25">
      <c r="A179">
        <v>178</v>
      </c>
      <c r="B179">
        <v>206387103.421</v>
      </c>
      <c r="C179">
        <v>0.5</v>
      </c>
      <c r="D179">
        <v>1</v>
      </c>
      <c r="E179" t="s">
        <v>87</v>
      </c>
      <c r="F179">
        <v>5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126</v>
      </c>
    </row>
    <row r="180" spans="1:16" x14ac:dyDescent="0.25">
      <c r="A180">
        <v>179</v>
      </c>
      <c r="B180">
        <v>206387103.421</v>
      </c>
      <c r="C180">
        <v>0.5</v>
      </c>
      <c r="D180">
        <v>1</v>
      </c>
      <c r="E180" t="s">
        <v>87</v>
      </c>
      <c r="F180">
        <v>5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126</v>
      </c>
    </row>
    <row r="181" spans="1:16" x14ac:dyDescent="0.25">
      <c r="A181">
        <v>180</v>
      </c>
      <c r="B181">
        <v>206387103.421</v>
      </c>
      <c r="C181">
        <v>0.5</v>
      </c>
      <c r="D181">
        <v>1</v>
      </c>
      <c r="E181" t="s">
        <v>87</v>
      </c>
      <c r="F181">
        <v>5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126</v>
      </c>
    </row>
    <row r="182" spans="1:16" x14ac:dyDescent="0.25">
      <c r="A182">
        <v>181</v>
      </c>
      <c r="B182">
        <v>206387103.421</v>
      </c>
      <c r="C182">
        <v>0.5</v>
      </c>
      <c r="D182">
        <v>1</v>
      </c>
      <c r="E182" t="s">
        <v>87</v>
      </c>
      <c r="F182">
        <v>5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126</v>
      </c>
    </row>
    <row r="183" spans="1:16" x14ac:dyDescent="0.25">
      <c r="A183">
        <v>182</v>
      </c>
      <c r="B183">
        <v>206387103.421</v>
      </c>
      <c r="C183">
        <v>0.5</v>
      </c>
      <c r="D183">
        <v>1</v>
      </c>
      <c r="E183" t="s">
        <v>87</v>
      </c>
      <c r="F183">
        <v>5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126</v>
      </c>
    </row>
    <row r="184" spans="1:16" x14ac:dyDescent="0.25">
      <c r="A184">
        <v>183</v>
      </c>
      <c r="B184">
        <v>206387103.421</v>
      </c>
      <c r="C184">
        <v>0.5</v>
      </c>
      <c r="D184">
        <v>1</v>
      </c>
      <c r="E184" t="s">
        <v>87</v>
      </c>
      <c r="F184">
        <v>5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126</v>
      </c>
    </row>
    <row r="185" spans="1:16" x14ac:dyDescent="0.25">
      <c r="A185">
        <v>184</v>
      </c>
      <c r="B185">
        <v>206387103.421</v>
      </c>
      <c r="C185">
        <v>0.5</v>
      </c>
      <c r="D185">
        <v>1</v>
      </c>
      <c r="E185" t="s">
        <v>87</v>
      </c>
      <c r="F185">
        <v>5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126</v>
      </c>
    </row>
    <row r="186" spans="1:16" x14ac:dyDescent="0.25">
      <c r="A186">
        <v>185</v>
      </c>
      <c r="B186">
        <v>206387103.421</v>
      </c>
      <c r="C186">
        <v>0.5</v>
      </c>
      <c r="D186">
        <v>1</v>
      </c>
      <c r="E186" t="s">
        <v>87</v>
      </c>
      <c r="F186">
        <v>5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126</v>
      </c>
    </row>
    <row r="187" spans="1:16" x14ac:dyDescent="0.25">
      <c r="A187">
        <v>186</v>
      </c>
      <c r="B187">
        <v>206387103.421</v>
      </c>
      <c r="C187">
        <v>0.5</v>
      </c>
      <c r="D187">
        <v>1</v>
      </c>
      <c r="E187" t="s">
        <v>87</v>
      </c>
      <c r="F187">
        <v>5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126</v>
      </c>
    </row>
    <row r="188" spans="1:16" x14ac:dyDescent="0.25">
      <c r="A188">
        <v>187</v>
      </c>
      <c r="B188">
        <v>206387103.421</v>
      </c>
      <c r="C188">
        <v>0.5</v>
      </c>
      <c r="D188">
        <v>1</v>
      </c>
      <c r="E188" t="s">
        <v>87</v>
      </c>
      <c r="F188">
        <v>5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126</v>
      </c>
    </row>
    <row r="189" spans="1:16" x14ac:dyDescent="0.25">
      <c r="A189">
        <v>188</v>
      </c>
      <c r="B189">
        <v>206387103.421</v>
      </c>
      <c r="C189">
        <v>0.5</v>
      </c>
      <c r="D189">
        <v>1</v>
      </c>
      <c r="E189" t="s">
        <v>87</v>
      </c>
      <c r="F189">
        <v>5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126</v>
      </c>
    </row>
    <row r="190" spans="1:16" x14ac:dyDescent="0.25">
      <c r="A190">
        <v>189</v>
      </c>
      <c r="B190">
        <v>206387103.421</v>
      </c>
      <c r="C190">
        <v>0.5</v>
      </c>
      <c r="D190">
        <v>1</v>
      </c>
      <c r="E190" t="s">
        <v>87</v>
      </c>
      <c r="F190">
        <v>5</v>
      </c>
      <c r="G190">
        <v>1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126</v>
      </c>
    </row>
    <row r="191" spans="1:16" x14ac:dyDescent="0.25">
      <c r="A191">
        <v>190</v>
      </c>
      <c r="B191">
        <v>206387103.421</v>
      </c>
      <c r="C191">
        <v>0.5</v>
      </c>
      <c r="D191">
        <v>1</v>
      </c>
      <c r="E191" t="s">
        <v>87</v>
      </c>
      <c r="F191">
        <v>5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126</v>
      </c>
    </row>
    <row r="192" spans="1:16" x14ac:dyDescent="0.25">
      <c r="A192">
        <v>191</v>
      </c>
      <c r="B192">
        <v>206387103.421</v>
      </c>
      <c r="C192">
        <v>0.5</v>
      </c>
      <c r="D192">
        <v>1</v>
      </c>
      <c r="E192" t="s">
        <v>87</v>
      </c>
      <c r="F192">
        <v>5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126</v>
      </c>
    </row>
    <row r="193" spans="1:16" x14ac:dyDescent="0.25">
      <c r="A193">
        <v>192</v>
      </c>
      <c r="B193">
        <v>206387103.421</v>
      </c>
      <c r="C193">
        <v>0.5</v>
      </c>
      <c r="D193">
        <v>1</v>
      </c>
      <c r="E193" t="s">
        <v>87</v>
      </c>
      <c r="F193">
        <v>5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126</v>
      </c>
    </row>
    <row r="194" spans="1:16" x14ac:dyDescent="0.25">
      <c r="A194">
        <v>193</v>
      </c>
      <c r="B194">
        <v>206387103.421</v>
      </c>
      <c r="C194">
        <v>0.5</v>
      </c>
      <c r="D194">
        <v>1</v>
      </c>
      <c r="E194" t="s">
        <v>87</v>
      </c>
      <c r="F194">
        <v>5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126</v>
      </c>
    </row>
    <row r="195" spans="1:16" x14ac:dyDescent="0.25">
      <c r="A195">
        <v>194</v>
      </c>
      <c r="B195">
        <v>206387103.421</v>
      </c>
      <c r="C195">
        <v>0.5</v>
      </c>
      <c r="D195">
        <v>1</v>
      </c>
      <c r="E195" t="s">
        <v>87</v>
      </c>
      <c r="F195">
        <v>5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126</v>
      </c>
    </row>
    <row r="196" spans="1:16" x14ac:dyDescent="0.25">
      <c r="A196">
        <v>195</v>
      </c>
      <c r="B196">
        <v>206387103.421</v>
      </c>
      <c r="C196">
        <v>0.5</v>
      </c>
      <c r="D196">
        <v>1</v>
      </c>
      <c r="E196" t="s">
        <v>87</v>
      </c>
      <c r="F196">
        <v>5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126</v>
      </c>
    </row>
    <row r="197" spans="1:16" x14ac:dyDescent="0.25">
      <c r="A197">
        <v>196</v>
      </c>
      <c r="B197">
        <v>206387103.421</v>
      </c>
      <c r="C197">
        <v>0.5</v>
      </c>
      <c r="D197">
        <v>1</v>
      </c>
      <c r="E197" t="s">
        <v>87</v>
      </c>
      <c r="F197">
        <v>5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126</v>
      </c>
    </row>
    <row r="198" spans="1:16" x14ac:dyDescent="0.25">
      <c r="A198">
        <v>197</v>
      </c>
      <c r="B198">
        <v>206387103.421</v>
      </c>
      <c r="C198">
        <v>0.5</v>
      </c>
      <c r="D198">
        <v>1</v>
      </c>
      <c r="E198" t="s">
        <v>87</v>
      </c>
      <c r="F198">
        <v>5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126</v>
      </c>
    </row>
    <row r="199" spans="1:16" x14ac:dyDescent="0.25">
      <c r="A199">
        <v>198</v>
      </c>
      <c r="B199">
        <v>206387103.421</v>
      </c>
      <c r="C199">
        <v>0.5</v>
      </c>
      <c r="D199">
        <v>1</v>
      </c>
      <c r="E199" t="s">
        <v>87</v>
      </c>
      <c r="F199">
        <v>5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126</v>
      </c>
    </row>
    <row r="200" spans="1:16" x14ac:dyDescent="0.25">
      <c r="A200">
        <v>199</v>
      </c>
      <c r="B200">
        <v>206387103.421</v>
      </c>
      <c r="C200">
        <v>0.5</v>
      </c>
      <c r="D200">
        <v>1</v>
      </c>
      <c r="E200" t="s">
        <v>87</v>
      </c>
      <c r="F200">
        <v>5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126</v>
      </c>
    </row>
    <row r="201" spans="1:16" x14ac:dyDescent="0.25">
      <c r="A201">
        <v>200</v>
      </c>
      <c r="B201">
        <v>206387103.421</v>
      </c>
      <c r="C201">
        <v>0.5</v>
      </c>
      <c r="D201">
        <v>1</v>
      </c>
      <c r="E201" t="s">
        <v>87</v>
      </c>
      <c r="F201">
        <v>5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126</v>
      </c>
    </row>
    <row r="202" spans="1:16" x14ac:dyDescent="0.25">
      <c r="A202">
        <v>201</v>
      </c>
      <c r="B202">
        <v>206387103.421</v>
      </c>
      <c r="C202">
        <v>0.5</v>
      </c>
      <c r="D202">
        <v>1</v>
      </c>
      <c r="E202" t="s">
        <v>87</v>
      </c>
      <c r="F202">
        <v>5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126</v>
      </c>
    </row>
    <row r="203" spans="1:16" x14ac:dyDescent="0.25">
      <c r="A203">
        <v>202</v>
      </c>
      <c r="B203">
        <v>206387103.421</v>
      </c>
      <c r="C203">
        <v>0.5</v>
      </c>
      <c r="D203">
        <v>1</v>
      </c>
      <c r="E203" t="s">
        <v>87</v>
      </c>
      <c r="F203">
        <v>5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126</v>
      </c>
    </row>
    <row r="204" spans="1:16" x14ac:dyDescent="0.25">
      <c r="A204">
        <v>203</v>
      </c>
      <c r="B204">
        <v>206387103.421</v>
      </c>
      <c r="C204">
        <v>0.5</v>
      </c>
      <c r="D204">
        <v>1</v>
      </c>
      <c r="E204" t="s">
        <v>87</v>
      </c>
      <c r="F204">
        <v>5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126</v>
      </c>
    </row>
    <row r="205" spans="1:16" x14ac:dyDescent="0.25">
      <c r="A205">
        <v>204</v>
      </c>
      <c r="B205">
        <v>206387103.421</v>
      </c>
      <c r="C205">
        <v>0.5</v>
      </c>
      <c r="D205">
        <v>1</v>
      </c>
      <c r="E205" t="s">
        <v>87</v>
      </c>
      <c r="F205">
        <v>5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126</v>
      </c>
    </row>
    <row r="206" spans="1:16" x14ac:dyDescent="0.25">
      <c r="A206">
        <v>205</v>
      </c>
      <c r="B206">
        <v>206387103.421</v>
      </c>
      <c r="C206">
        <v>0.5</v>
      </c>
      <c r="D206">
        <v>1</v>
      </c>
      <c r="E206" t="s">
        <v>87</v>
      </c>
      <c r="F206">
        <v>5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126</v>
      </c>
    </row>
    <row r="207" spans="1:16" x14ac:dyDescent="0.25">
      <c r="A207">
        <v>206</v>
      </c>
      <c r="B207">
        <v>206387103.421</v>
      </c>
      <c r="C207">
        <v>0.5</v>
      </c>
      <c r="D207">
        <v>1</v>
      </c>
      <c r="E207" t="s">
        <v>87</v>
      </c>
      <c r="F207">
        <v>5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126</v>
      </c>
    </row>
    <row r="208" spans="1:16" x14ac:dyDescent="0.25">
      <c r="A208">
        <v>207</v>
      </c>
      <c r="B208">
        <v>206387135.671</v>
      </c>
      <c r="C208">
        <v>0.3</v>
      </c>
      <c r="D208">
        <v>1</v>
      </c>
      <c r="E208" t="s">
        <v>127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128</v>
      </c>
    </row>
    <row r="209" spans="1:16" x14ac:dyDescent="0.25">
      <c r="A209">
        <v>208</v>
      </c>
      <c r="B209">
        <v>206387136.171</v>
      </c>
      <c r="C209">
        <v>0</v>
      </c>
      <c r="D209">
        <v>0</v>
      </c>
      <c r="E209" t="s">
        <v>42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129</v>
      </c>
    </row>
    <row r="210" spans="1:16" x14ac:dyDescent="0.25">
      <c r="A210">
        <v>209</v>
      </c>
      <c r="B210">
        <v>206387136.421</v>
      </c>
      <c r="C210">
        <v>0</v>
      </c>
      <c r="D210">
        <v>0</v>
      </c>
      <c r="E210" t="s">
        <v>42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130</v>
      </c>
    </row>
    <row r="211" spans="1:16" x14ac:dyDescent="0.25">
      <c r="A211">
        <v>210</v>
      </c>
      <c r="B211">
        <v>206387136.671</v>
      </c>
      <c r="C211">
        <v>0</v>
      </c>
      <c r="D211">
        <v>0</v>
      </c>
      <c r="E211" t="s">
        <v>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131</v>
      </c>
    </row>
    <row r="212" spans="1:16" x14ac:dyDescent="0.25">
      <c r="A212">
        <v>211</v>
      </c>
      <c r="B212">
        <v>206387136.921</v>
      </c>
      <c r="C212">
        <v>0</v>
      </c>
      <c r="D212">
        <v>0</v>
      </c>
      <c r="E212" t="s">
        <v>42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132</v>
      </c>
    </row>
    <row r="213" spans="1:16" x14ac:dyDescent="0.25">
      <c r="A213">
        <v>212</v>
      </c>
      <c r="B213">
        <v>206387137.171</v>
      </c>
      <c r="C213">
        <v>0</v>
      </c>
      <c r="D213">
        <v>0</v>
      </c>
      <c r="E213" t="s">
        <v>42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133</v>
      </c>
    </row>
    <row r="214" spans="1:16" x14ac:dyDescent="0.25">
      <c r="A214">
        <v>213</v>
      </c>
      <c r="B214">
        <v>206387137.421</v>
      </c>
      <c r="C214">
        <v>0</v>
      </c>
      <c r="D214">
        <v>0</v>
      </c>
      <c r="E214" t="s">
        <v>42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134</v>
      </c>
    </row>
    <row r="215" spans="1:16" x14ac:dyDescent="0.25">
      <c r="A215">
        <v>214</v>
      </c>
      <c r="B215">
        <v>206387137.671</v>
      </c>
      <c r="C215">
        <v>0.2</v>
      </c>
      <c r="D215">
        <v>0</v>
      </c>
      <c r="E215" t="s">
        <v>117</v>
      </c>
      <c r="F215">
        <v>4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135</v>
      </c>
    </row>
    <row r="216" spans="1:16" x14ac:dyDescent="0.25">
      <c r="A216">
        <v>215</v>
      </c>
      <c r="B216">
        <v>206387137.671</v>
      </c>
      <c r="C216">
        <v>0.5</v>
      </c>
      <c r="D216">
        <v>1</v>
      </c>
      <c r="E216" t="s">
        <v>87</v>
      </c>
      <c r="F216">
        <v>5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136</v>
      </c>
    </row>
    <row r="217" spans="1:16" x14ac:dyDescent="0.25">
      <c r="A217">
        <v>216</v>
      </c>
      <c r="B217">
        <v>206387137.671</v>
      </c>
      <c r="C217">
        <v>0.5</v>
      </c>
      <c r="D217">
        <v>1</v>
      </c>
      <c r="E217" t="s">
        <v>87</v>
      </c>
      <c r="F217">
        <v>5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136</v>
      </c>
    </row>
    <row r="218" spans="1:16" x14ac:dyDescent="0.25">
      <c r="A218">
        <v>217</v>
      </c>
      <c r="B218">
        <v>206387138.421</v>
      </c>
      <c r="C218">
        <v>0</v>
      </c>
      <c r="D218">
        <v>0</v>
      </c>
      <c r="E218" t="s">
        <v>42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137</v>
      </c>
    </row>
    <row r="219" spans="1:16" x14ac:dyDescent="0.25">
      <c r="A219">
        <v>218</v>
      </c>
      <c r="B219">
        <v>206387138.421</v>
      </c>
      <c r="C219">
        <v>0.5</v>
      </c>
      <c r="D219">
        <v>1</v>
      </c>
      <c r="E219" t="s">
        <v>87</v>
      </c>
      <c r="F219">
        <v>5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138</v>
      </c>
    </row>
    <row r="220" spans="1:16" x14ac:dyDescent="0.25">
      <c r="A220">
        <v>219</v>
      </c>
      <c r="B220">
        <v>206387138.921</v>
      </c>
      <c r="C220">
        <v>0</v>
      </c>
      <c r="D220">
        <v>0</v>
      </c>
      <c r="E220" t="s">
        <v>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139</v>
      </c>
    </row>
    <row r="221" spans="1:16" x14ac:dyDescent="0.25">
      <c r="A221">
        <v>220</v>
      </c>
      <c r="B221">
        <v>206387139.171</v>
      </c>
      <c r="C221">
        <v>0</v>
      </c>
      <c r="D221">
        <v>0</v>
      </c>
      <c r="E221" t="s">
        <v>42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140</v>
      </c>
    </row>
    <row r="222" spans="1:16" x14ac:dyDescent="0.25">
      <c r="A222">
        <v>221</v>
      </c>
      <c r="B222">
        <v>206387139.421</v>
      </c>
      <c r="C222">
        <v>0</v>
      </c>
      <c r="D222">
        <v>0</v>
      </c>
      <c r="E222" t="s">
        <v>42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141</v>
      </c>
    </row>
    <row r="223" spans="1:16" x14ac:dyDescent="0.25">
      <c r="A223">
        <v>222</v>
      </c>
      <c r="B223">
        <v>206387139.671</v>
      </c>
      <c r="C223">
        <v>0</v>
      </c>
      <c r="D223">
        <v>0</v>
      </c>
      <c r="E223" t="s">
        <v>42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142</v>
      </c>
    </row>
    <row r="224" spans="1:16" x14ac:dyDescent="0.25">
      <c r="A224">
        <v>223</v>
      </c>
      <c r="B224">
        <v>206387139.921</v>
      </c>
      <c r="C224">
        <v>0</v>
      </c>
      <c r="D224">
        <v>0</v>
      </c>
      <c r="E224" t="s">
        <v>42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143</v>
      </c>
    </row>
    <row r="225" spans="1:16" x14ac:dyDescent="0.25">
      <c r="A225">
        <v>224</v>
      </c>
      <c r="B225">
        <v>206387140.171</v>
      </c>
      <c r="C225">
        <v>0</v>
      </c>
      <c r="D225">
        <v>0</v>
      </c>
      <c r="E225" t="s">
        <v>42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144</v>
      </c>
    </row>
    <row r="226" spans="1:16" x14ac:dyDescent="0.25">
      <c r="A226">
        <v>225</v>
      </c>
      <c r="B226">
        <v>206387140.421</v>
      </c>
      <c r="C226">
        <v>0</v>
      </c>
      <c r="D226">
        <v>0</v>
      </c>
      <c r="E226" t="s">
        <v>42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145</v>
      </c>
    </row>
    <row r="227" spans="1:16" x14ac:dyDescent="0.25">
      <c r="A227">
        <v>226</v>
      </c>
      <c r="B227">
        <v>206387140.671</v>
      </c>
      <c r="C227">
        <v>0</v>
      </c>
      <c r="D227">
        <v>0</v>
      </c>
      <c r="E227" t="s">
        <v>42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146</v>
      </c>
    </row>
    <row r="228" spans="1:16" x14ac:dyDescent="0.25">
      <c r="A228">
        <v>227</v>
      </c>
      <c r="B228">
        <v>206387140.921</v>
      </c>
      <c r="C228">
        <v>0</v>
      </c>
      <c r="D228">
        <v>0</v>
      </c>
      <c r="E228" t="s">
        <v>42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147</v>
      </c>
    </row>
    <row r="229" spans="1:16" x14ac:dyDescent="0.25">
      <c r="A229">
        <v>228</v>
      </c>
      <c r="B229">
        <v>206387141.171</v>
      </c>
      <c r="C229">
        <v>0</v>
      </c>
      <c r="D229">
        <v>0</v>
      </c>
      <c r="E229" t="s">
        <v>42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148</v>
      </c>
    </row>
    <row r="230" spans="1:16" x14ac:dyDescent="0.25">
      <c r="A230">
        <v>229</v>
      </c>
      <c r="B230">
        <v>206387141.421</v>
      </c>
      <c r="C230">
        <v>0</v>
      </c>
      <c r="D230">
        <v>0</v>
      </c>
      <c r="E230" t="s">
        <v>42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149</v>
      </c>
    </row>
    <row r="231" spans="1:16" x14ac:dyDescent="0.25">
      <c r="A231">
        <v>230</v>
      </c>
      <c r="B231">
        <v>206387141.671</v>
      </c>
      <c r="C231">
        <v>0</v>
      </c>
      <c r="D231">
        <v>0</v>
      </c>
      <c r="E231" t="s">
        <v>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150</v>
      </c>
    </row>
    <row r="232" spans="1:16" x14ac:dyDescent="0.25">
      <c r="A232">
        <v>231</v>
      </c>
      <c r="B232">
        <v>206387141.921</v>
      </c>
      <c r="C232">
        <v>0</v>
      </c>
      <c r="D232">
        <v>0</v>
      </c>
      <c r="E232" t="s">
        <v>42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151</v>
      </c>
    </row>
    <row r="233" spans="1:16" x14ac:dyDescent="0.25">
      <c r="A233">
        <v>232</v>
      </c>
      <c r="B233">
        <v>206387142.171</v>
      </c>
      <c r="C233">
        <v>0</v>
      </c>
      <c r="D233">
        <v>0</v>
      </c>
      <c r="E233" t="s">
        <v>42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152</v>
      </c>
    </row>
    <row r="234" spans="1:16" x14ac:dyDescent="0.25">
      <c r="A234">
        <v>233</v>
      </c>
      <c r="B234">
        <v>206387142.421</v>
      </c>
      <c r="C234">
        <v>0</v>
      </c>
      <c r="D234">
        <v>0</v>
      </c>
      <c r="E234" t="s">
        <v>42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153</v>
      </c>
    </row>
    <row r="235" spans="1:16" x14ac:dyDescent="0.25">
      <c r="A235">
        <v>234</v>
      </c>
      <c r="B235">
        <v>206387142.671</v>
      </c>
      <c r="C235">
        <v>0</v>
      </c>
      <c r="D235">
        <v>0</v>
      </c>
      <c r="E235" t="s">
        <v>42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154</v>
      </c>
    </row>
    <row r="236" spans="1:16" x14ac:dyDescent="0.25">
      <c r="A236">
        <v>235</v>
      </c>
      <c r="B236">
        <v>206387143.421</v>
      </c>
      <c r="C236">
        <v>0</v>
      </c>
      <c r="D236">
        <v>0</v>
      </c>
      <c r="E236" t="s">
        <v>42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155</v>
      </c>
    </row>
    <row r="237" spans="1:16" x14ac:dyDescent="0.25">
      <c r="A237">
        <v>236</v>
      </c>
      <c r="B237">
        <v>206387143.671</v>
      </c>
      <c r="C237">
        <v>0</v>
      </c>
      <c r="D237">
        <v>0</v>
      </c>
      <c r="E237" t="s">
        <v>42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156</v>
      </c>
    </row>
    <row r="238" spans="1:16" x14ac:dyDescent="0.25">
      <c r="A238">
        <v>237</v>
      </c>
      <c r="B238">
        <v>206387143.921</v>
      </c>
      <c r="C238">
        <v>0</v>
      </c>
      <c r="D238">
        <v>0</v>
      </c>
      <c r="E238" t="s">
        <v>42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157</v>
      </c>
    </row>
    <row r="239" spans="1:16" x14ac:dyDescent="0.25">
      <c r="A239">
        <v>238</v>
      </c>
      <c r="B239">
        <v>206387144.171</v>
      </c>
      <c r="C239">
        <v>0</v>
      </c>
      <c r="D239">
        <v>0</v>
      </c>
      <c r="E239" t="s">
        <v>42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158</v>
      </c>
    </row>
    <row r="240" spans="1:16" x14ac:dyDescent="0.25">
      <c r="A240">
        <v>239</v>
      </c>
      <c r="B240">
        <v>206387144.421</v>
      </c>
      <c r="C240">
        <v>0</v>
      </c>
      <c r="D240">
        <v>0</v>
      </c>
      <c r="E240" t="s">
        <v>42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159</v>
      </c>
    </row>
    <row r="241" spans="1:16" x14ac:dyDescent="0.25">
      <c r="A241">
        <v>240</v>
      </c>
      <c r="B241">
        <v>206387144.671</v>
      </c>
      <c r="C241">
        <v>0</v>
      </c>
      <c r="D241">
        <v>0</v>
      </c>
      <c r="E241" t="s">
        <v>42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160</v>
      </c>
    </row>
    <row r="242" spans="1:16" x14ac:dyDescent="0.25">
      <c r="A242">
        <v>241</v>
      </c>
      <c r="B242">
        <v>206387144.921</v>
      </c>
      <c r="C242">
        <v>0</v>
      </c>
      <c r="D242">
        <v>0</v>
      </c>
      <c r="E242" t="s">
        <v>42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161</v>
      </c>
    </row>
    <row r="243" spans="1:16" x14ac:dyDescent="0.25">
      <c r="A243">
        <v>242</v>
      </c>
      <c r="B243">
        <v>206387145.171</v>
      </c>
      <c r="C243">
        <v>0</v>
      </c>
      <c r="D243">
        <v>0</v>
      </c>
      <c r="E243" t="s">
        <v>42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162</v>
      </c>
    </row>
    <row r="244" spans="1:16" x14ac:dyDescent="0.25">
      <c r="A244">
        <v>243</v>
      </c>
      <c r="B244">
        <v>206387145.421</v>
      </c>
      <c r="C244">
        <v>0</v>
      </c>
      <c r="D244">
        <v>0</v>
      </c>
      <c r="E244" t="s">
        <v>42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163</v>
      </c>
    </row>
    <row r="245" spans="1:16" x14ac:dyDescent="0.25">
      <c r="A245">
        <v>244</v>
      </c>
      <c r="B245">
        <v>206387145.671</v>
      </c>
      <c r="C245">
        <v>0</v>
      </c>
      <c r="D245">
        <v>0</v>
      </c>
      <c r="E245" t="s">
        <v>42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164</v>
      </c>
    </row>
    <row r="246" spans="1:16" x14ac:dyDescent="0.25">
      <c r="A246">
        <v>245</v>
      </c>
      <c r="B246">
        <v>206387145.921</v>
      </c>
      <c r="C246">
        <v>0</v>
      </c>
      <c r="D246">
        <v>0</v>
      </c>
      <c r="E246" t="s">
        <v>42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165</v>
      </c>
    </row>
    <row r="247" spans="1:16" x14ac:dyDescent="0.25">
      <c r="A247">
        <v>246</v>
      </c>
      <c r="B247">
        <v>206387146.171</v>
      </c>
      <c r="C247">
        <v>0</v>
      </c>
      <c r="D247">
        <v>0</v>
      </c>
      <c r="E247" t="s">
        <v>42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166</v>
      </c>
    </row>
    <row r="248" spans="1:16" x14ac:dyDescent="0.25">
      <c r="A248">
        <v>247</v>
      </c>
      <c r="B248">
        <v>206387146.421</v>
      </c>
      <c r="C248">
        <v>0</v>
      </c>
      <c r="D248">
        <v>0</v>
      </c>
      <c r="E248" t="s">
        <v>42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167</v>
      </c>
    </row>
    <row r="249" spans="1:16" x14ac:dyDescent="0.25">
      <c r="A249">
        <v>248</v>
      </c>
      <c r="B249">
        <v>206387146.671</v>
      </c>
      <c r="C249">
        <v>0</v>
      </c>
      <c r="D249">
        <v>0</v>
      </c>
      <c r="E249" t="s">
        <v>42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168</v>
      </c>
    </row>
    <row r="250" spans="1:16" x14ac:dyDescent="0.25">
      <c r="A250">
        <v>249</v>
      </c>
      <c r="B250">
        <v>206387146.921</v>
      </c>
      <c r="C250">
        <v>0</v>
      </c>
      <c r="D250">
        <v>0</v>
      </c>
      <c r="E250" t="s">
        <v>42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169</v>
      </c>
    </row>
    <row r="251" spans="1:16" x14ac:dyDescent="0.25">
      <c r="A251">
        <v>250</v>
      </c>
      <c r="B251">
        <v>206387147.171</v>
      </c>
      <c r="C251">
        <v>0</v>
      </c>
      <c r="D251">
        <v>0</v>
      </c>
      <c r="E251" t="s">
        <v>42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170</v>
      </c>
    </row>
    <row r="252" spans="1:16" x14ac:dyDescent="0.25">
      <c r="A252">
        <v>251</v>
      </c>
      <c r="B252">
        <v>206387147.421</v>
      </c>
      <c r="C252">
        <v>0</v>
      </c>
      <c r="D252">
        <v>0</v>
      </c>
      <c r="E252" t="s">
        <v>42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171</v>
      </c>
    </row>
    <row r="253" spans="1:16" x14ac:dyDescent="0.25">
      <c r="A253">
        <v>252</v>
      </c>
      <c r="B253">
        <v>206387147.671</v>
      </c>
      <c r="C253">
        <v>0</v>
      </c>
      <c r="D253">
        <v>0</v>
      </c>
      <c r="E253" t="s">
        <v>42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172</v>
      </c>
    </row>
    <row r="254" spans="1:16" x14ac:dyDescent="0.25">
      <c r="A254">
        <v>253</v>
      </c>
      <c r="B254">
        <v>206387147.921</v>
      </c>
      <c r="C254">
        <v>0</v>
      </c>
      <c r="D254">
        <v>0</v>
      </c>
      <c r="E254" t="s">
        <v>42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173</v>
      </c>
    </row>
    <row r="255" spans="1:16" x14ac:dyDescent="0.25">
      <c r="A255">
        <v>254</v>
      </c>
      <c r="B255">
        <v>206387148.171</v>
      </c>
      <c r="C255">
        <v>0.5</v>
      </c>
      <c r="D255">
        <v>1</v>
      </c>
      <c r="E255" t="s">
        <v>174</v>
      </c>
      <c r="F255">
        <v>6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175</v>
      </c>
    </row>
    <row r="256" spans="1:16" x14ac:dyDescent="0.25">
      <c r="A256">
        <v>255</v>
      </c>
      <c r="B256">
        <v>206387148.421</v>
      </c>
      <c r="C256">
        <v>0</v>
      </c>
      <c r="D256">
        <v>0</v>
      </c>
      <c r="E256" t="s">
        <v>42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176</v>
      </c>
    </row>
    <row r="257" spans="1:16" x14ac:dyDescent="0.25">
      <c r="A257">
        <v>256</v>
      </c>
      <c r="B257">
        <v>206387148.671</v>
      </c>
      <c r="C257">
        <v>0</v>
      </c>
      <c r="D257">
        <v>0</v>
      </c>
      <c r="E257" t="s">
        <v>42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177</v>
      </c>
    </row>
    <row r="258" spans="1:16" x14ac:dyDescent="0.25">
      <c r="A258">
        <v>257</v>
      </c>
      <c r="B258">
        <v>206387148.921</v>
      </c>
      <c r="C258">
        <v>0</v>
      </c>
      <c r="D258">
        <v>0</v>
      </c>
      <c r="E258" t="s">
        <v>42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178</v>
      </c>
    </row>
    <row r="259" spans="1:16" x14ac:dyDescent="0.25">
      <c r="A259">
        <v>258</v>
      </c>
      <c r="B259">
        <v>206387148.921</v>
      </c>
      <c r="C259">
        <v>0.5</v>
      </c>
      <c r="D259">
        <v>1</v>
      </c>
      <c r="E259" t="s">
        <v>87</v>
      </c>
      <c r="F259">
        <v>5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179</v>
      </c>
    </row>
    <row r="260" spans="1:16" x14ac:dyDescent="0.25">
      <c r="A260">
        <v>259</v>
      </c>
      <c r="B260">
        <v>206387149.421</v>
      </c>
      <c r="C260">
        <v>0</v>
      </c>
      <c r="D260">
        <v>0</v>
      </c>
      <c r="E260" t="s">
        <v>42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180</v>
      </c>
    </row>
    <row r="261" spans="1:16" x14ac:dyDescent="0.25">
      <c r="A261">
        <v>260</v>
      </c>
      <c r="B261">
        <v>206387149.671</v>
      </c>
      <c r="C261">
        <v>0</v>
      </c>
      <c r="D261">
        <v>0</v>
      </c>
      <c r="E261" t="s">
        <v>42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181</v>
      </c>
    </row>
    <row r="262" spans="1:16" x14ac:dyDescent="0.25">
      <c r="A262">
        <v>261</v>
      </c>
      <c r="B262">
        <v>206387149.921</v>
      </c>
      <c r="C262">
        <v>0</v>
      </c>
      <c r="D262">
        <v>0</v>
      </c>
      <c r="E262" t="s">
        <v>42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182</v>
      </c>
    </row>
    <row r="263" spans="1:16" x14ac:dyDescent="0.25">
      <c r="A263">
        <v>262</v>
      </c>
      <c r="B263">
        <v>206387150.171</v>
      </c>
      <c r="C263">
        <v>0</v>
      </c>
      <c r="D263">
        <v>0</v>
      </c>
      <c r="E263" t="s">
        <v>42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183</v>
      </c>
    </row>
    <row r="264" spans="1:16" x14ac:dyDescent="0.25">
      <c r="A264">
        <v>263</v>
      </c>
      <c r="B264">
        <v>206387150.421</v>
      </c>
      <c r="C264">
        <v>0</v>
      </c>
      <c r="D264">
        <v>0</v>
      </c>
      <c r="E264" t="s">
        <v>42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184</v>
      </c>
    </row>
    <row r="265" spans="1:16" x14ac:dyDescent="0.25">
      <c r="A265">
        <v>264</v>
      </c>
      <c r="B265">
        <v>206387150.671</v>
      </c>
      <c r="C265">
        <v>0</v>
      </c>
      <c r="D265">
        <v>0</v>
      </c>
      <c r="E265" t="s">
        <v>42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185</v>
      </c>
    </row>
    <row r="266" spans="1:16" x14ac:dyDescent="0.25">
      <c r="A266">
        <v>265</v>
      </c>
      <c r="B266">
        <v>206387150.921</v>
      </c>
      <c r="C266">
        <v>0</v>
      </c>
      <c r="D266">
        <v>0</v>
      </c>
      <c r="E266" t="s">
        <v>42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186</v>
      </c>
    </row>
    <row r="267" spans="1:16" x14ac:dyDescent="0.25">
      <c r="A267">
        <v>266</v>
      </c>
      <c r="B267">
        <v>206387151.171</v>
      </c>
      <c r="C267">
        <v>0</v>
      </c>
      <c r="D267">
        <v>0</v>
      </c>
      <c r="E267" t="s">
        <v>42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187</v>
      </c>
    </row>
    <row r="268" spans="1:16" x14ac:dyDescent="0.25">
      <c r="A268">
        <v>267</v>
      </c>
      <c r="B268">
        <v>206387151.421</v>
      </c>
      <c r="C268">
        <v>0</v>
      </c>
      <c r="D268">
        <v>0</v>
      </c>
      <c r="E268" t="s">
        <v>42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188</v>
      </c>
    </row>
    <row r="269" spans="1:16" x14ac:dyDescent="0.25">
      <c r="A269">
        <v>268</v>
      </c>
      <c r="B269">
        <v>206387151.671</v>
      </c>
      <c r="C269">
        <v>0</v>
      </c>
      <c r="D269">
        <v>0</v>
      </c>
      <c r="E269" t="s">
        <v>42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189</v>
      </c>
    </row>
    <row r="270" spans="1:16" x14ac:dyDescent="0.25">
      <c r="A270">
        <v>269</v>
      </c>
      <c r="B270">
        <v>206387151.921</v>
      </c>
      <c r="C270">
        <v>0</v>
      </c>
      <c r="D270">
        <v>0</v>
      </c>
      <c r="E270" t="s">
        <v>42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190</v>
      </c>
    </row>
    <row r="271" spans="1:16" x14ac:dyDescent="0.25">
      <c r="A271">
        <v>270</v>
      </c>
      <c r="B271">
        <v>206387152.171</v>
      </c>
      <c r="C271">
        <v>0</v>
      </c>
      <c r="D271">
        <v>0</v>
      </c>
      <c r="E271" t="s">
        <v>42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191</v>
      </c>
    </row>
    <row r="272" spans="1:16" x14ac:dyDescent="0.25">
      <c r="A272">
        <v>271</v>
      </c>
      <c r="B272">
        <v>206387152.421</v>
      </c>
      <c r="C272">
        <v>0</v>
      </c>
      <c r="D272">
        <v>0</v>
      </c>
      <c r="E272" t="s">
        <v>42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192</v>
      </c>
    </row>
    <row r="273" spans="1:16" x14ac:dyDescent="0.25">
      <c r="A273">
        <v>272</v>
      </c>
      <c r="B273">
        <v>206387152.671</v>
      </c>
      <c r="C273">
        <v>0</v>
      </c>
      <c r="D273">
        <v>0</v>
      </c>
      <c r="E273" t="s">
        <v>42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193</v>
      </c>
    </row>
    <row r="274" spans="1:16" x14ac:dyDescent="0.25">
      <c r="A274">
        <v>273</v>
      </c>
      <c r="B274">
        <v>206387152.921</v>
      </c>
      <c r="C274">
        <v>0.2</v>
      </c>
      <c r="D274">
        <v>0</v>
      </c>
      <c r="E274" t="s">
        <v>117</v>
      </c>
      <c r="F274">
        <v>4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194</v>
      </c>
    </row>
    <row r="275" spans="1:16" x14ac:dyDescent="0.25">
      <c r="A275">
        <v>274</v>
      </c>
      <c r="B275">
        <v>206387153.171</v>
      </c>
      <c r="C275">
        <v>0</v>
      </c>
      <c r="D275">
        <v>0</v>
      </c>
      <c r="E275" t="s">
        <v>42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8"/>
  <sheetViews>
    <sheetView tabSelected="1" topLeftCell="H10" zoomScale="85" zoomScaleNormal="85" workbookViewId="0">
      <selection activeCell="S37" sqref="S37"/>
    </sheetView>
  </sheetViews>
  <sheetFormatPr defaultRowHeight="15" x14ac:dyDescent="0.25"/>
  <cols>
    <col min="1" max="1" width="18.28515625" bestFit="1" customWidth="1"/>
    <col min="2" max="2" width="7.42578125" bestFit="1" customWidth="1"/>
    <col min="3" max="3" width="6.42578125" bestFit="1" customWidth="1"/>
    <col min="4" max="4" width="6" bestFit="1" customWidth="1"/>
    <col min="5" max="5" width="6.7109375" bestFit="1" customWidth="1"/>
    <col min="6" max="6" width="7.5703125" bestFit="1" customWidth="1"/>
    <col min="7" max="7" width="10.42578125" bestFit="1" customWidth="1"/>
    <col min="8" max="8" width="12.140625" bestFit="1" customWidth="1"/>
    <col min="9" max="9" width="12.85546875" bestFit="1" customWidth="1"/>
    <col min="10" max="10" width="10.7109375" bestFit="1" customWidth="1"/>
    <col min="11" max="11" width="10.7109375" customWidth="1"/>
    <col min="12" max="13" width="9.5703125" bestFit="1" customWidth="1"/>
    <col min="14" max="14" width="9.42578125" bestFit="1" customWidth="1"/>
    <col min="15" max="16" width="8.5703125" bestFit="1" customWidth="1"/>
    <col min="17" max="17" width="8.42578125" bestFit="1" customWidth="1"/>
    <col min="18" max="18" width="12" bestFit="1" customWidth="1"/>
    <col min="19" max="19" width="12.7109375" bestFit="1" customWidth="1"/>
    <col min="20" max="20" width="12" bestFit="1" customWidth="1"/>
    <col min="22" max="22" width="26.42578125" bestFit="1" customWidth="1"/>
    <col min="23" max="23" width="20" bestFit="1" customWidth="1"/>
    <col min="24" max="24" width="26.42578125" bestFit="1" customWidth="1"/>
    <col min="25" max="25" width="20" bestFit="1" customWidth="1"/>
    <col min="26" max="26" width="26.28515625" bestFit="1" customWidth="1"/>
    <col min="27" max="27" width="19.85546875" bestFit="1" customWidth="1"/>
    <col min="34" max="34" width="12.42578125" bestFit="1" customWidth="1"/>
    <col min="35" max="35" width="14.28515625" bestFit="1" customWidth="1"/>
    <col min="36" max="36" width="15" bestFit="1" customWidth="1"/>
    <col min="37" max="37" width="12.28515625" bestFit="1" customWidth="1"/>
  </cols>
  <sheetData>
    <row r="1" spans="1:37" x14ac:dyDescent="0.25">
      <c r="A1" t="s">
        <v>196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C1" t="s">
        <v>205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</row>
    <row r="2" spans="1:37" x14ac:dyDescent="0.25">
      <c r="A2">
        <f>novatel_oem615[[#This Row],[GPS_WEEKS]]*604800+novatel_oem615[[#This Row],[GPS_SECONDS]]+novatel_oem615[[#This Row],[GPS_FRAC_SECS]]</f>
        <v>206387082.42199999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L2">
        <v>-2606000</v>
      </c>
      <c r="M2">
        <v>-6246000</v>
      </c>
      <c r="N2">
        <v>369700</v>
      </c>
      <c r="O2">
        <v>4036</v>
      </c>
      <c r="P2">
        <v>-1324</v>
      </c>
      <c r="Q2">
        <v>6028</v>
      </c>
      <c r="R2">
        <v>2.5349731449999999</v>
      </c>
      <c r="S2">
        <v>-113.07424159999999</v>
      </c>
      <c r="T2">
        <v>400027.96879999997</v>
      </c>
      <c r="V2">
        <v>-1.4984239999999999E-3</v>
      </c>
      <c r="W2">
        <v>-3.7819149999999998E-3</v>
      </c>
      <c r="X2">
        <v>5.8400000000000003E-5</v>
      </c>
      <c r="Y2">
        <v>6.3985589999999998E-3</v>
      </c>
      <c r="Z2">
        <v>-5.1259620000000004E-3</v>
      </c>
      <c r="AA2">
        <v>-2.8362869999999998E-2</v>
      </c>
      <c r="AC2">
        <v>1</v>
      </c>
      <c r="AD2">
        <f>2*C2</f>
        <v>0</v>
      </c>
      <c r="AE2">
        <f>3*D2</f>
        <v>3</v>
      </c>
      <c r="AF2">
        <f>4*E2</f>
        <v>0</v>
      </c>
      <c r="AG2" cm="1">
        <f t="array" ref="AG2:AG275">5*F2:F275</f>
        <v>5</v>
      </c>
      <c r="AH2" cm="1">
        <f t="array" ref="AH2:AH275">6*G2:G275</f>
        <v>0</v>
      </c>
      <c r="AI2" cm="1">
        <f t="array" ref="AI2:AI275">7*H2:H275</f>
        <v>0</v>
      </c>
    </row>
    <row r="3" spans="1:37" x14ac:dyDescent="0.25">
      <c r="A3">
        <f>novatel_oem615[[#This Row],[GPS_WEEKS]]*604800+novatel_oem615[[#This Row],[GPS_SECONDS]]+novatel_oem615[[#This Row],[GPS_FRAC_SECS]]</f>
        <v>206387082.67199999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-2605000</v>
      </c>
      <c r="M3">
        <v>-6246000</v>
      </c>
      <c r="N3">
        <v>371200</v>
      </c>
      <c r="O3">
        <v>4037</v>
      </c>
      <c r="P3">
        <v>-1322</v>
      </c>
      <c r="Q3">
        <v>6028</v>
      </c>
      <c r="R3">
        <v>2.5349731449999999</v>
      </c>
      <c r="S3">
        <v>-113.07424159999999</v>
      </c>
      <c r="T3">
        <v>400027.96879999997</v>
      </c>
      <c r="V3">
        <v>-1.432858E-3</v>
      </c>
      <c r="W3">
        <v>-3.0666589999999998E-3</v>
      </c>
      <c r="X3">
        <v>1.9315599999999999E-4</v>
      </c>
      <c r="Y3">
        <v>6.4462419999999996E-3</v>
      </c>
      <c r="Z3">
        <v>-4.7188619999999999E-3</v>
      </c>
      <c r="AA3">
        <v>-2.7504562999999999E-2</v>
      </c>
      <c r="AC3">
        <v>0</v>
      </c>
      <c r="AD3">
        <f t="shared" ref="AD3:AD66" si="0">2*C3</f>
        <v>0</v>
      </c>
      <c r="AE3">
        <f t="shared" ref="AE3:AE66" si="1">3*D3</f>
        <v>0</v>
      </c>
      <c r="AF3">
        <f t="shared" ref="AF3:AF66" si="2">4*E3</f>
        <v>0</v>
      </c>
      <c r="AG3">
        <v>0</v>
      </c>
      <c r="AH3">
        <v>0</v>
      </c>
      <c r="AI3">
        <v>0</v>
      </c>
    </row>
    <row r="4" spans="1:37" x14ac:dyDescent="0.25">
      <c r="A4">
        <f>novatel_oem615[[#This Row],[GPS_WEEKS]]*604800+novatel_oem615[[#This Row],[GPS_SECONDS]]+novatel_oem615[[#This Row],[GPS_FRAC_SECS]]</f>
        <v>206387082.92199999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>
        <v>-2604000</v>
      </c>
      <c r="M4">
        <v>-6247000</v>
      </c>
      <c r="N4">
        <v>372700</v>
      </c>
      <c r="O4">
        <v>4038</v>
      </c>
      <c r="P4">
        <v>-1320</v>
      </c>
      <c r="Q4">
        <v>6028</v>
      </c>
      <c r="R4">
        <v>2.5349731449999999</v>
      </c>
      <c r="S4">
        <v>-113.07424159999999</v>
      </c>
      <c r="T4">
        <v>400027.96879999997</v>
      </c>
      <c r="V4">
        <v>-1.4370310000000001E-3</v>
      </c>
      <c r="W4">
        <v>-2.9474499999999999E-3</v>
      </c>
      <c r="X4">
        <v>2.4560800000000002E-4</v>
      </c>
      <c r="Y4">
        <v>5.8263539999999997E-3</v>
      </c>
      <c r="Z4">
        <v>-4.8154219999999998E-3</v>
      </c>
      <c r="AA4">
        <v>-2.7599931000000001E-2</v>
      </c>
      <c r="AC4">
        <v>0</v>
      </c>
      <c r="AD4">
        <f t="shared" si="0"/>
        <v>0</v>
      </c>
      <c r="AE4">
        <f t="shared" si="1"/>
        <v>0</v>
      </c>
      <c r="AF4">
        <f t="shared" si="2"/>
        <v>0</v>
      </c>
      <c r="AG4">
        <v>0</v>
      </c>
      <c r="AH4">
        <v>0</v>
      </c>
      <c r="AI4">
        <v>0</v>
      </c>
    </row>
    <row r="5" spans="1:37" x14ac:dyDescent="0.25">
      <c r="A5">
        <f>novatel_oem615[[#This Row],[GPS_WEEKS]]*604800+novatel_oem615[[#This Row],[GPS_SECONDS]]+novatel_oem615[[#This Row],[GPS_FRAC_SECS]]</f>
        <v>206387083.17199999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L5">
        <v>-2603000</v>
      </c>
      <c r="M5">
        <v>-6247000</v>
      </c>
      <c r="N5">
        <v>374200</v>
      </c>
      <c r="O5">
        <v>4039</v>
      </c>
      <c r="P5">
        <v>-1318</v>
      </c>
      <c r="Q5">
        <v>6028</v>
      </c>
      <c r="R5">
        <v>2.5349731449999999</v>
      </c>
      <c r="S5">
        <v>-113.07424159999999</v>
      </c>
      <c r="T5">
        <v>400027.96879999997</v>
      </c>
      <c r="V5">
        <v>-1.367889E-3</v>
      </c>
      <c r="W5">
        <v>-3.2573939999999998E-3</v>
      </c>
      <c r="X5">
        <v>2.3488E-4</v>
      </c>
      <c r="Y5">
        <v>5.9694049999999997E-3</v>
      </c>
      <c r="Z5">
        <v>-4.3183190000000002E-3</v>
      </c>
      <c r="AA5">
        <v>-2.6598573E-2</v>
      </c>
      <c r="AC5">
        <v>0</v>
      </c>
      <c r="AD5">
        <f t="shared" si="0"/>
        <v>0</v>
      </c>
      <c r="AE5">
        <f t="shared" si="1"/>
        <v>0</v>
      </c>
      <c r="AF5">
        <f t="shared" si="2"/>
        <v>0</v>
      </c>
      <c r="AG5">
        <v>0</v>
      </c>
      <c r="AH5">
        <v>0</v>
      </c>
      <c r="AI5">
        <v>0</v>
      </c>
    </row>
    <row r="6" spans="1:37" x14ac:dyDescent="0.25">
      <c r="A6">
        <f>novatel_oem615[[#This Row],[GPS_WEEKS]]*604800+novatel_oem615[[#This Row],[GPS_SECONDS]]+novatel_oem615[[#This Row],[GPS_FRAC_SECS]]</f>
        <v>206387083.42199999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L6">
        <v>-2602000</v>
      </c>
      <c r="M6">
        <v>-6247000</v>
      </c>
      <c r="N6">
        <v>375700</v>
      </c>
      <c r="O6">
        <v>4040</v>
      </c>
      <c r="P6">
        <v>-1317</v>
      </c>
      <c r="Q6">
        <v>6028</v>
      </c>
      <c r="R6">
        <v>2.5349731449999999</v>
      </c>
      <c r="S6">
        <v>-113.07424159999999</v>
      </c>
      <c r="T6">
        <v>400027.96879999997</v>
      </c>
      <c r="V6">
        <v>-1.3649090000000001E-3</v>
      </c>
      <c r="W6">
        <v>-2.8520820000000001E-3</v>
      </c>
      <c r="X6">
        <v>3.0878900000000001E-4</v>
      </c>
      <c r="Y6">
        <v>6.0170889999999998E-3</v>
      </c>
      <c r="Z6">
        <v>-4.1633470000000004E-3</v>
      </c>
      <c r="AA6">
        <v>-2.6693939999999999E-2</v>
      </c>
      <c r="AC6">
        <v>0</v>
      </c>
      <c r="AD6">
        <f t="shared" si="0"/>
        <v>0</v>
      </c>
      <c r="AE6">
        <f t="shared" si="1"/>
        <v>0</v>
      </c>
      <c r="AF6">
        <f t="shared" si="2"/>
        <v>0</v>
      </c>
      <c r="AG6">
        <v>0</v>
      </c>
      <c r="AH6">
        <v>0</v>
      </c>
      <c r="AI6">
        <v>0</v>
      </c>
    </row>
    <row r="7" spans="1:37" x14ac:dyDescent="0.25">
      <c r="A7">
        <f>novatel_oem615[[#This Row],[GPS_WEEKS]]*604800+novatel_oem615[[#This Row],[GPS_SECONDS]]+novatel_oem615[[#This Row],[GPS_FRAC_SECS]]</f>
        <v>206387083.67199999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L7">
        <v>-2601000</v>
      </c>
      <c r="M7">
        <v>-6248000</v>
      </c>
      <c r="N7">
        <v>377200</v>
      </c>
      <c r="O7">
        <v>4040</v>
      </c>
      <c r="P7">
        <v>-1315</v>
      </c>
      <c r="Q7">
        <v>6028</v>
      </c>
      <c r="R7">
        <v>2.5349731449999999</v>
      </c>
      <c r="S7">
        <v>-113.07424159999999</v>
      </c>
      <c r="T7">
        <v>400027.96879999997</v>
      </c>
      <c r="V7">
        <v>-1.294576E-3</v>
      </c>
      <c r="W7">
        <v>-2.9474499999999999E-3</v>
      </c>
      <c r="X7">
        <v>3.3263100000000001E-4</v>
      </c>
      <c r="Y7">
        <v>5.4448839999999997E-3</v>
      </c>
      <c r="Z7">
        <v>-3.9755930000000004E-3</v>
      </c>
      <c r="AA7">
        <v>-2.5597215E-2</v>
      </c>
      <c r="AC7">
        <v>0</v>
      </c>
      <c r="AD7">
        <f t="shared" si="0"/>
        <v>0</v>
      </c>
      <c r="AE7">
        <f t="shared" si="1"/>
        <v>0</v>
      </c>
      <c r="AF7">
        <f t="shared" si="2"/>
        <v>0</v>
      </c>
      <c r="AG7">
        <v>0</v>
      </c>
      <c r="AH7">
        <v>0</v>
      </c>
      <c r="AI7">
        <v>0</v>
      </c>
    </row>
    <row r="8" spans="1:37" x14ac:dyDescent="0.25">
      <c r="A8">
        <f>novatel_oem615[[#This Row],[GPS_WEEKS]]*604800+novatel_oem615[[#This Row],[GPS_SECONDS]]+novatel_oem615[[#This Row],[GPS_FRAC_SECS]]</f>
        <v>206387083.92199999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L8">
        <v>-2600000</v>
      </c>
      <c r="M8">
        <v>-6248000</v>
      </c>
      <c r="N8">
        <v>378700</v>
      </c>
      <c r="O8">
        <v>4041</v>
      </c>
      <c r="P8">
        <v>-1313</v>
      </c>
      <c r="Q8">
        <v>6027</v>
      </c>
      <c r="R8">
        <v>2.5349731449999999</v>
      </c>
      <c r="S8">
        <v>-113.07424159999999</v>
      </c>
      <c r="T8">
        <v>400027.96879999997</v>
      </c>
      <c r="V8">
        <v>-1.299344E-3</v>
      </c>
      <c r="W8">
        <v>-4.7594309999999997E-3</v>
      </c>
      <c r="X8">
        <v>1.06134E-4</v>
      </c>
      <c r="Y8">
        <v>5.6356189999999997E-3</v>
      </c>
      <c r="Z8">
        <v>-3.7145239999999999E-3</v>
      </c>
      <c r="AA8">
        <v>-2.5644897999999999E-2</v>
      </c>
      <c r="AC8">
        <v>0</v>
      </c>
      <c r="AD8">
        <f t="shared" si="0"/>
        <v>0</v>
      </c>
      <c r="AE8">
        <f t="shared" si="1"/>
        <v>0</v>
      </c>
      <c r="AF8">
        <f t="shared" si="2"/>
        <v>0</v>
      </c>
      <c r="AG8">
        <v>0</v>
      </c>
      <c r="AH8">
        <v>0</v>
      </c>
      <c r="AI8">
        <v>0</v>
      </c>
    </row>
    <row r="9" spans="1:37" x14ac:dyDescent="0.25">
      <c r="A9">
        <f>novatel_oem615[[#This Row],[GPS_WEEKS]]*604800+novatel_oem615[[#This Row],[GPS_SECONDS]]+novatel_oem615[[#This Row],[GPS_FRAC_SECS]]</f>
        <v>206387084.17199999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L9">
        <v>-2599000</v>
      </c>
      <c r="M9">
        <v>-6248000</v>
      </c>
      <c r="N9">
        <v>380200</v>
      </c>
      <c r="O9">
        <v>4042</v>
      </c>
      <c r="P9">
        <v>-1311</v>
      </c>
      <c r="Q9">
        <v>6027</v>
      </c>
      <c r="R9">
        <v>2.5349731449999999</v>
      </c>
      <c r="S9">
        <v>-113.07424159999999</v>
      </c>
      <c r="T9">
        <v>400027.96879999997</v>
      </c>
      <c r="V9">
        <v>-1.212917E-3</v>
      </c>
      <c r="W9">
        <v>-2.7805569999999999E-3</v>
      </c>
      <c r="X9">
        <v>3.86275E-4</v>
      </c>
      <c r="Y9">
        <v>5.6833029999999998E-3</v>
      </c>
      <c r="Z9">
        <v>-3.3229219999999999E-3</v>
      </c>
      <c r="AA9">
        <v>-2.4548173E-2</v>
      </c>
      <c r="AC9">
        <v>0</v>
      </c>
      <c r="AD9">
        <f t="shared" si="0"/>
        <v>0</v>
      </c>
      <c r="AE9">
        <f t="shared" si="1"/>
        <v>0</v>
      </c>
      <c r="AF9">
        <f t="shared" si="2"/>
        <v>0</v>
      </c>
      <c r="AG9">
        <v>0</v>
      </c>
      <c r="AH9">
        <v>0</v>
      </c>
      <c r="AI9">
        <v>0</v>
      </c>
    </row>
    <row r="10" spans="1:37" x14ac:dyDescent="0.25">
      <c r="A10">
        <f>novatel_oem615[[#This Row],[GPS_WEEKS]]*604800+novatel_oem615[[#This Row],[GPS_SECONDS]]+novatel_oem615[[#This Row],[GPS_FRAC_SECS]]</f>
        <v>206387084.42199999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-2598000</v>
      </c>
      <c r="M10">
        <v>-6249000</v>
      </c>
      <c r="N10">
        <v>381700</v>
      </c>
      <c r="O10">
        <v>4043</v>
      </c>
      <c r="P10">
        <v>-1309</v>
      </c>
      <c r="Q10">
        <v>6027</v>
      </c>
      <c r="R10">
        <v>2.5349731449999999</v>
      </c>
      <c r="S10">
        <v>-113.07424159999999</v>
      </c>
      <c r="T10">
        <v>400027.96879999997</v>
      </c>
      <c r="V10">
        <v>-1.2170900000000001E-3</v>
      </c>
      <c r="W10">
        <v>-2.6136639999999999E-3</v>
      </c>
      <c r="X10">
        <v>4.3753500000000002E-4</v>
      </c>
      <c r="Y10">
        <v>5.1110979999999997E-3</v>
      </c>
      <c r="Z10">
        <v>-3.43319E-3</v>
      </c>
      <c r="AA10">
        <v>-2.4643539999999999E-2</v>
      </c>
      <c r="AC10">
        <v>0</v>
      </c>
      <c r="AD10">
        <f t="shared" si="0"/>
        <v>0</v>
      </c>
      <c r="AE10">
        <f t="shared" si="1"/>
        <v>0</v>
      </c>
      <c r="AF10">
        <f t="shared" si="2"/>
        <v>0</v>
      </c>
      <c r="AG10">
        <v>0</v>
      </c>
      <c r="AH10">
        <v>0</v>
      </c>
      <c r="AI10">
        <v>0</v>
      </c>
    </row>
    <row r="11" spans="1:37" x14ac:dyDescent="0.25">
      <c r="A11">
        <f>novatel_oem615[[#This Row],[GPS_WEEKS]]*604800+novatel_oem615[[#This Row],[GPS_SECONDS]]+novatel_oem615[[#This Row],[GPS_FRAC_SECS]]</f>
        <v>206387084.67199999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-2597000</v>
      </c>
      <c r="M11">
        <v>-6249000</v>
      </c>
      <c r="N11">
        <v>383200</v>
      </c>
      <c r="O11">
        <v>4043</v>
      </c>
      <c r="P11">
        <v>-1307</v>
      </c>
      <c r="Q11">
        <v>6027</v>
      </c>
      <c r="R11">
        <v>2.5349731449999999</v>
      </c>
      <c r="S11">
        <v>-113.07424159999999</v>
      </c>
      <c r="T11">
        <v>400027.96879999997</v>
      </c>
      <c r="V11">
        <v>-1.139604E-3</v>
      </c>
      <c r="W11">
        <v>-4.0441749999999997E-3</v>
      </c>
      <c r="X11">
        <v>2.5633699999999998E-4</v>
      </c>
      <c r="Y11">
        <v>5.3495169999999998E-3</v>
      </c>
      <c r="Z11">
        <v>-2.9337030000000002E-3</v>
      </c>
      <c r="AA11">
        <v>-2.3499130999999999E-2</v>
      </c>
      <c r="AC11">
        <v>0</v>
      </c>
      <c r="AD11">
        <f t="shared" si="0"/>
        <v>0</v>
      </c>
      <c r="AE11">
        <f t="shared" si="1"/>
        <v>0</v>
      </c>
      <c r="AF11">
        <f t="shared" si="2"/>
        <v>0</v>
      </c>
      <c r="AG11">
        <v>0</v>
      </c>
      <c r="AH11">
        <v>0</v>
      </c>
      <c r="AI11">
        <v>0</v>
      </c>
    </row>
    <row r="12" spans="1:37" x14ac:dyDescent="0.25">
      <c r="A12">
        <f>novatel_oem615[[#This Row],[GPS_WEEKS]]*604800+novatel_oem615[[#This Row],[GPS_SECONDS]]+novatel_oem615[[#This Row],[GPS_FRAC_SECS]]</f>
        <v>206387084.92199999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-2596000</v>
      </c>
      <c r="M12">
        <v>-6249000</v>
      </c>
      <c r="N12">
        <v>384700</v>
      </c>
      <c r="O12">
        <v>4044</v>
      </c>
      <c r="P12">
        <v>-1306</v>
      </c>
      <c r="Q12">
        <v>6027</v>
      </c>
      <c r="R12">
        <v>2.5349731449999999</v>
      </c>
      <c r="S12">
        <v>-113.07424159999999</v>
      </c>
      <c r="T12">
        <v>400027.96879999997</v>
      </c>
      <c r="V12">
        <v>-1.1354309999999999E-3</v>
      </c>
      <c r="W12">
        <v>-2.4229289999999999E-3</v>
      </c>
      <c r="X12">
        <v>4.8164300000000002E-4</v>
      </c>
      <c r="Y12">
        <v>5.3972009999999999E-3</v>
      </c>
      <c r="Z12">
        <v>-2.8115140000000002E-3</v>
      </c>
      <c r="AA12">
        <v>-2.3618340000000002E-2</v>
      </c>
      <c r="AC12">
        <v>0</v>
      </c>
      <c r="AD12">
        <f t="shared" si="0"/>
        <v>0</v>
      </c>
      <c r="AE12">
        <f t="shared" si="1"/>
        <v>0</v>
      </c>
      <c r="AF12">
        <f t="shared" si="2"/>
        <v>0</v>
      </c>
      <c r="AG12">
        <v>0</v>
      </c>
      <c r="AH12">
        <v>0</v>
      </c>
      <c r="AI12">
        <v>0</v>
      </c>
    </row>
    <row r="13" spans="1:37" x14ac:dyDescent="0.25">
      <c r="A13">
        <f>novatel_oem615[[#This Row],[GPS_WEEKS]]*604800+novatel_oem615[[#This Row],[GPS_SECONDS]]+novatel_oem615[[#This Row],[GPS_FRAC_SECS]]</f>
        <v>206387085.17199999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L13">
        <v>-2595000</v>
      </c>
      <c r="M13">
        <v>-6250000</v>
      </c>
      <c r="N13">
        <v>386100</v>
      </c>
      <c r="O13">
        <v>4045</v>
      </c>
      <c r="P13">
        <v>-1304</v>
      </c>
      <c r="Q13">
        <v>6027</v>
      </c>
      <c r="R13">
        <v>2.5349731449999999</v>
      </c>
      <c r="S13">
        <v>-113.07424159999999</v>
      </c>
      <c r="T13">
        <v>400027.96879999997</v>
      </c>
      <c r="V13">
        <v>-1.0722500000000001E-3</v>
      </c>
      <c r="W13">
        <v>-1.8984080000000001E-3</v>
      </c>
      <c r="X13">
        <v>5.6270500000000004E-4</v>
      </c>
      <c r="Y13">
        <v>4.8249959999999998E-3</v>
      </c>
      <c r="Z13">
        <v>-2.691709E-3</v>
      </c>
      <c r="AA13">
        <v>-2.2521614999999998E-2</v>
      </c>
      <c r="AC13">
        <v>0</v>
      </c>
      <c r="AD13">
        <f t="shared" si="0"/>
        <v>0</v>
      </c>
      <c r="AE13">
        <f t="shared" si="1"/>
        <v>0</v>
      </c>
      <c r="AF13">
        <f t="shared" si="2"/>
        <v>0</v>
      </c>
      <c r="AG13">
        <v>0</v>
      </c>
      <c r="AH13">
        <v>0</v>
      </c>
      <c r="AI13">
        <v>0</v>
      </c>
    </row>
    <row r="14" spans="1:37" x14ac:dyDescent="0.25">
      <c r="A14">
        <f>novatel_oem615[[#This Row],[GPS_WEEKS]]*604800+novatel_oem615[[#This Row],[GPS_SECONDS]]+novatel_oem615[[#This Row],[GPS_FRAC_SECS]]</f>
        <v>206387085.42199999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L14">
        <v>-2594000</v>
      </c>
      <c r="M14">
        <v>-6250000</v>
      </c>
      <c r="N14">
        <v>387600</v>
      </c>
      <c r="O14">
        <v>4046</v>
      </c>
      <c r="P14">
        <v>-1302</v>
      </c>
      <c r="Q14">
        <v>6027</v>
      </c>
      <c r="R14">
        <v>2.5349731449999999</v>
      </c>
      <c r="S14">
        <v>-113.07424159999999</v>
      </c>
      <c r="T14">
        <v>400027.96879999997</v>
      </c>
      <c r="V14">
        <v>-9.9655199999999994E-4</v>
      </c>
      <c r="W14">
        <v>-1.803041E-3</v>
      </c>
      <c r="X14">
        <v>5.6866600000000001E-4</v>
      </c>
      <c r="Y14">
        <v>5.0157309999999998E-3</v>
      </c>
      <c r="Z14">
        <v>-2.2613630000000002E-3</v>
      </c>
      <c r="AA14">
        <v>-2.1424889999999999E-2</v>
      </c>
      <c r="AC14">
        <v>0</v>
      </c>
      <c r="AD14">
        <f t="shared" si="0"/>
        <v>0</v>
      </c>
      <c r="AE14">
        <f t="shared" si="1"/>
        <v>0</v>
      </c>
      <c r="AF14">
        <f t="shared" si="2"/>
        <v>0</v>
      </c>
      <c r="AG14">
        <v>0</v>
      </c>
      <c r="AH14">
        <v>0</v>
      </c>
      <c r="AI14">
        <v>0</v>
      </c>
    </row>
    <row r="15" spans="1:37" x14ac:dyDescent="0.25">
      <c r="A15">
        <f>novatel_oem615[[#This Row],[GPS_WEEKS]]*604800+novatel_oem615[[#This Row],[GPS_SECONDS]]+novatel_oem615[[#This Row],[GPS_FRAC_SECS]]</f>
        <v>206387085.67199999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L15">
        <v>-2593000</v>
      </c>
      <c r="M15">
        <v>-6250000</v>
      </c>
      <c r="N15">
        <v>389100</v>
      </c>
      <c r="O15">
        <v>4047</v>
      </c>
      <c r="P15">
        <v>-1300</v>
      </c>
      <c r="Q15">
        <v>6027</v>
      </c>
      <c r="R15">
        <v>2.5349731449999999</v>
      </c>
      <c r="S15">
        <v>-113.07424159999999</v>
      </c>
      <c r="T15">
        <v>400027.96879999997</v>
      </c>
      <c r="V15">
        <v>-9.8463099999999992E-4</v>
      </c>
      <c r="W15">
        <v>-2.8282400000000001E-3</v>
      </c>
      <c r="X15">
        <v>4.4707200000000002E-4</v>
      </c>
      <c r="Y15">
        <v>5.1110979999999997E-3</v>
      </c>
      <c r="Z15">
        <v>-2.0962580000000001E-3</v>
      </c>
      <c r="AA15">
        <v>-2.1520257000000001E-2</v>
      </c>
      <c r="AC15">
        <v>0</v>
      </c>
      <c r="AD15">
        <f t="shared" si="0"/>
        <v>0</v>
      </c>
      <c r="AE15">
        <f t="shared" si="1"/>
        <v>0</v>
      </c>
      <c r="AF15">
        <f t="shared" si="2"/>
        <v>0</v>
      </c>
      <c r="AG15">
        <v>0</v>
      </c>
      <c r="AH15">
        <v>0</v>
      </c>
      <c r="AI15">
        <v>0</v>
      </c>
    </row>
    <row r="16" spans="1:37" x14ac:dyDescent="0.25">
      <c r="A16">
        <f>novatel_oem615[[#This Row],[GPS_WEEKS]]*604800+novatel_oem615[[#This Row],[GPS_SECONDS]]+novatel_oem615[[#This Row],[GPS_FRAC_SECS]]</f>
        <v>206387085.92199999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>
        <v>-2592000</v>
      </c>
      <c r="M16">
        <v>-6251000</v>
      </c>
      <c r="N16">
        <v>390600</v>
      </c>
      <c r="O16">
        <v>4047</v>
      </c>
      <c r="P16">
        <v>-1298</v>
      </c>
      <c r="Q16">
        <v>6026</v>
      </c>
      <c r="R16">
        <v>2.5349731449999999</v>
      </c>
      <c r="S16">
        <v>-113.07424159999999</v>
      </c>
      <c r="T16">
        <v>400027.96879999997</v>
      </c>
      <c r="V16">
        <v>-9.2621900000000004E-4</v>
      </c>
      <c r="W16">
        <v>-1.969934E-3</v>
      </c>
      <c r="X16">
        <v>5.5555299999999997E-4</v>
      </c>
      <c r="Y16">
        <v>4.5865769999999997E-3</v>
      </c>
      <c r="Z16">
        <v>-2.000295E-3</v>
      </c>
      <c r="AA16">
        <v>-2.0423532000000001E-2</v>
      </c>
      <c r="AC16">
        <v>0</v>
      </c>
      <c r="AD16">
        <f t="shared" si="0"/>
        <v>0</v>
      </c>
      <c r="AE16">
        <f t="shared" si="1"/>
        <v>0</v>
      </c>
      <c r="AF16">
        <f t="shared" si="2"/>
        <v>0</v>
      </c>
      <c r="AG16">
        <v>0</v>
      </c>
      <c r="AH16">
        <v>0</v>
      </c>
      <c r="AI16">
        <v>0</v>
      </c>
    </row>
    <row r="17" spans="1:35" x14ac:dyDescent="0.25">
      <c r="A17">
        <f>novatel_oem615[[#This Row],[GPS_WEEKS]]*604800+novatel_oem615[[#This Row],[GPS_SECONDS]]+novatel_oem615[[#This Row],[GPS_FRAC_SECS]]</f>
        <v>206387086.17199999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>
        <v>-2591000</v>
      </c>
      <c r="M17">
        <v>-6251000</v>
      </c>
      <c r="N17">
        <v>392100</v>
      </c>
      <c r="O17">
        <v>4048</v>
      </c>
      <c r="P17">
        <v>-1296</v>
      </c>
      <c r="Q17">
        <v>6026</v>
      </c>
      <c r="R17">
        <v>2.5349731449999999</v>
      </c>
      <c r="S17">
        <v>-113.07424159999999</v>
      </c>
      <c r="T17">
        <v>400027.96879999997</v>
      </c>
      <c r="V17">
        <v>-8.68402E-4</v>
      </c>
      <c r="W17">
        <v>-1.683831E-3</v>
      </c>
      <c r="X17">
        <v>5.9012300000000001E-4</v>
      </c>
      <c r="Y17">
        <v>4.1097399999999997E-3</v>
      </c>
      <c r="Z17">
        <v>-1.901947E-3</v>
      </c>
      <c r="AA17">
        <v>-1.9302963999999999E-2</v>
      </c>
      <c r="AC17">
        <v>0</v>
      </c>
      <c r="AD17">
        <f t="shared" si="0"/>
        <v>0</v>
      </c>
      <c r="AE17">
        <f t="shared" si="1"/>
        <v>0</v>
      </c>
      <c r="AF17">
        <f t="shared" si="2"/>
        <v>0</v>
      </c>
      <c r="AG17">
        <v>0</v>
      </c>
      <c r="AH17">
        <v>0</v>
      </c>
      <c r="AI17">
        <v>0</v>
      </c>
    </row>
    <row r="18" spans="1:35" x14ac:dyDescent="0.25">
      <c r="A18">
        <f>novatel_oem615[[#This Row],[GPS_WEEKS]]*604800+novatel_oem615[[#This Row],[GPS_SECONDS]]+novatel_oem615[[#This Row],[GPS_FRAC_SECS]]</f>
        <v>206387086.42199999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>
        <v>-2590000</v>
      </c>
      <c r="M18">
        <v>-6251000</v>
      </c>
      <c r="N18">
        <v>393600</v>
      </c>
      <c r="O18">
        <v>4049</v>
      </c>
      <c r="P18">
        <v>-1294</v>
      </c>
      <c r="Q18">
        <v>6026</v>
      </c>
      <c r="R18">
        <v>2.5349731449999999</v>
      </c>
      <c r="S18">
        <v>-113.07424159999999</v>
      </c>
      <c r="T18">
        <v>400027.96879999997</v>
      </c>
      <c r="V18">
        <v>-7.8376400000000005E-4</v>
      </c>
      <c r="W18">
        <v>-2.3990869999999998E-3</v>
      </c>
      <c r="X18">
        <v>4.79259E-4</v>
      </c>
      <c r="Y18">
        <v>4.395843E-3</v>
      </c>
      <c r="Z18">
        <v>-1.478158E-3</v>
      </c>
      <c r="AA18">
        <v>-1.8182396999999999E-2</v>
      </c>
      <c r="AC18">
        <v>0</v>
      </c>
      <c r="AD18">
        <f t="shared" si="0"/>
        <v>0</v>
      </c>
      <c r="AE18">
        <f t="shared" si="1"/>
        <v>0</v>
      </c>
      <c r="AF18">
        <f t="shared" si="2"/>
        <v>0</v>
      </c>
      <c r="AG18">
        <v>0</v>
      </c>
      <c r="AH18">
        <v>0</v>
      </c>
      <c r="AI18">
        <v>0</v>
      </c>
    </row>
    <row r="19" spans="1:35" x14ac:dyDescent="0.25">
      <c r="A19">
        <f>novatel_oem615[[#This Row],[GPS_WEEKS]]*604800+novatel_oem615[[#This Row],[GPS_SECONDS]]+novatel_oem615[[#This Row],[GPS_FRAC_SECS]]</f>
        <v>206387086.67199999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>
        <v>-2589000</v>
      </c>
      <c r="M19">
        <v>-6252000</v>
      </c>
      <c r="N19">
        <v>395100</v>
      </c>
      <c r="O19">
        <v>4050</v>
      </c>
      <c r="P19">
        <v>-1293</v>
      </c>
      <c r="Q19">
        <v>6026</v>
      </c>
      <c r="R19">
        <v>2.5349731449999999</v>
      </c>
      <c r="S19">
        <v>-113.07424159999999</v>
      </c>
      <c r="T19">
        <v>400027.96879999997</v>
      </c>
      <c r="V19">
        <v>-7.9270499999999999E-4</v>
      </c>
      <c r="W19">
        <v>-1.254678E-3</v>
      </c>
      <c r="X19">
        <v>6.2231000000000005E-4</v>
      </c>
      <c r="Y19">
        <v>4.4912099999999998E-3</v>
      </c>
      <c r="Z19">
        <v>-1.354776E-3</v>
      </c>
      <c r="AA19">
        <v>-1.8301606000000002E-2</v>
      </c>
      <c r="AC19">
        <v>0</v>
      </c>
      <c r="AD19">
        <f t="shared" si="0"/>
        <v>0</v>
      </c>
      <c r="AE19">
        <f t="shared" si="1"/>
        <v>0</v>
      </c>
      <c r="AF19">
        <f t="shared" si="2"/>
        <v>0</v>
      </c>
      <c r="AG19">
        <v>0</v>
      </c>
      <c r="AH19">
        <v>0</v>
      </c>
      <c r="AI19">
        <v>0</v>
      </c>
    </row>
    <row r="20" spans="1:35" x14ac:dyDescent="0.25">
      <c r="A20">
        <f>novatel_oem615[[#This Row],[GPS_WEEKS]]*604800+novatel_oem615[[#This Row],[GPS_SECONDS]]+novatel_oem615[[#This Row],[GPS_FRAC_SECS]]</f>
        <v>206387086.92199999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>
        <v>-2588000</v>
      </c>
      <c r="M20">
        <v>-6252000</v>
      </c>
      <c r="N20">
        <v>396600</v>
      </c>
      <c r="O20">
        <v>4050</v>
      </c>
      <c r="P20">
        <v>-1291</v>
      </c>
      <c r="Q20">
        <v>6026</v>
      </c>
      <c r="R20">
        <v>2.5349731449999999</v>
      </c>
      <c r="S20">
        <v>-113.07424159999999</v>
      </c>
      <c r="T20">
        <v>400027.96879999997</v>
      </c>
      <c r="V20">
        <v>-7.34292E-4</v>
      </c>
      <c r="W20">
        <v>-1.254678E-3</v>
      </c>
      <c r="X20">
        <v>6.08005E-4</v>
      </c>
      <c r="Y20">
        <v>4.062057E-3</v>
      </c>
      <c r="Z20">
        <v>-1.27133E-3</v>
      </c>
      <c r="AA20">
        <v>-1.7181038999999999E-2</v>
      </c>
      <c r="AC20">
        <v>0</v>
      </c>
      <c r="AD20">
        <f t="shared" si="0"/>
        <v>0</v>
      </c>
      <c r="AE20">
        <f t="shared" si="1"/>
        <v>0</v>
      </c>
      <c r="AF20">
        <f t="shared" si="2"/>
        <v>0</v>
      </c>
      <c r="AG20">
        <v>0</v>
      </c>
      <c r="AH20">
        <v>0</v>
      </c>
      <c r="AI20">
        <v>0</v>
      </c>
    </row>
    <row r="21" spans="1:35" x14ac:dyDescent="0.25">
      <c r="A21">
        <f>novatel_oem615[[#This Row],[GPS_WEEKS]]*604800+novatel_oem615[[#This Row],[GPS_SECONDS]]+novatel_oem615[[#This Row],[GPS_FRAC_SECS]]</f>
        <v>206387087.17199999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>
        <v>-2587000</v>
      </c>
      <c r="M21">
        <v>-6252000</v>
      </c>
      <c r="N21">
        <v>398100</v>
      </c>
      <c r="O21">
        <v>4051</v>
      </c>
      <c r="P21">
        <v>-1289</v>
      </c>
      <c r="Q21">
        <v>6026</v>
      </c>
      <c r="R21">
        <v>2.5349731449999999</v>
      </c>
      <c r="S21">
        <v>-113.07424159999999</v>
      </c>
      <c r="T21">
        <v>400027.96879999997</v>
      </c>
      <c r="V21">
        <v>-6.5263400000000003E-4</v>
      </c>
      <c r="W21">
        <v>-1.683831E-3</v>
      </c>
      <c r="X21">
        <v>5.2455799999999995E-4</v>
      </c>
      <c r="Y21">
        <v>4.395843E-3</v>
      </c>
      <c r="Z21">
        <v>-8.72575E-4</v>
      </c>
      <c r="AA21">
        <v>-1.6084312999999999E-2</v>
      </c>
      <c r="AC21">
        <v>0</v>
      </c>
      <c r="AD21">
        <f t="shared" si="0"/>
        <v>0</v>
      </c>
      <c r="AE21">
        <f t="shared" si="1"/>
        <v>0</v>
      </c>
      <c r="AF21">
        <f t="shared" si="2"/>
        <v>0</v>
      </c>
      <c r="AG21">
        <v>0</v>
      </c>
      <c r="AH21">
        <v>0</v>
      </c>
      <c r="AI21">
        <v>0</v>
      </c>
    </row>
    <row r="22" spans="1:35" x14ac:dyDescent="0.25">
      <c r="A22">
        <f>novatel_oem615[[#This Row],[GPS_WEEKS]]*604800+novatel_oem615[[#This Row],[GPS_SECONDS]]+novatel_oem615[[#This Row],[GPS_FRAC_SECS]]</f>
        <v>206387087.42199999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>
        <v>-2586000</v>
      </c>
      <c r="M22">
        <v>-6253000</v>
      </c>
      <c r="N22">
        <v>399600</v>
      </c>
      <c r="O22">
        <v>4052</v>
      </c>
      <c r="P22">
        <v>-1287</v>
      </c>
      <c r="Q22">
        <v>6026</v>
      </c>
      <c r="R22">
        <v>2.5349731449999999</v>
      </c>
      <c r="S22">
        <v>-113.07424159999999</v>
      </c>
      <c r="T22">
        <v>400027.96879999997</v>
      </c>
      <c r="V22">
        <v>-5.9898899999999997E-4</v>
      </c>
      <c r="W22">
        <v>-7.5399899999999999E-4</v>
      </c>
      <c r="X22">
        <v>5.9608399999999998E-4</v>
      </c>
      <c r="Y22">
        <v>4.5865769999999997E-3</v>
      </c>
      <c r="Z22">
        <v>-5.5190199999999995E-4</v>
      </c>
      <c r="AA22">
        <v>-1.4987588E-2</v>
      </c>
      <c r="AC22">
        <v>0</v>
      </c>
      <c r="AD22">
        <f t="shared" si="0"/>
        <v>0</v>
      </c>
      <c r="AE22">
        <f t="shared" si="1"/>
        <v>0</v>
      </c>
      <c r="AF22">
        <f t="shared" si="2"/>
        <v>0</v>
      </c>
      <c r="AG22">
        <v>0</v>
      </c>
      <c r="AH22">
        <v>0</v>
      </c>
      <c r="AI22">
        <v>0</v>
      </c>
    </row>
    <row r="23" spans="1:35" x14ac:dyDescent="0.25">
      <c r="A23">
        <f>novatel_oem615[[#This Row],[GPS_WEEKS]]*604800+novatel_oem615[[#This Row],[GPS_SECONDS]]+novatel_oem615[[#This Row],[GPS_FRAC_SECS]]</f>
        <v>206387087.67199999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>
        <v>-2585000</v>
      </c>
      <c r="M23">
        <v>-6253000</v>
      </c>
      <c r="N23">
        <v>401100</v>
      </c>
      <c r="O23">
        <v>4053</v>
      </c>
      <c r="P23">
        <v>-1285</v>
      </c>
      <c r="Q23">
        <v>6026</v>
      </c>
      <c r="R23">
        <v>2.5349731449999999</v>
      </c>
      <c r="S23">
        <v>-113.07424159999999</v>
      </c>
      <c r="T23">
        <v>400027.96879999997</v>
      </c>
      <c r="V23">
        <v>-6.0495000000000004E-4</v>
      </c>
      <c r="W23">
        <v>-3.9637100000000002E-4</v>
      </c>
      <c r="X23">
        <v>6.4257500000000005E-4</v>
      </c>
      <c r="Y23">
        <v>4.6342609999999998E-3</v>
      </c>
      <c r="Z23">
        <v>-4.7024300000000002E-4</v>
      </c>
      <c r="AA23">
        <v>-1.5130639E-2</v>
      </c>
      <c r="AC23">
        <v>0</v>
      </c>
      <c r="AD23">
        <f t="shared" si="0"/>
        <v>0</v>
      </c>
      <c r="AE23">
        <f t="shared" si="1"/>
        <v>0</v>
      </c>
      <c r="AF23">
        <f t="shared" si="2"/>
        <v>0</v>
      </c>
      <c r="AG23">
        <v>0</v>
      </c>
      <c r="AH23">
        <v>0</v>
      </c>
      <c r="AI23">
        <v>0</v>
      </c>
    </row>
    <row r="24" spans="1:35" x14ac:dyDescent="0.25">
      <c r="A24">
        <f>novatel_oem615[[#This Row],[GPS_WEEKS]]*604800+novatel_oem615[[#This Row],[GPS_SECONDS]]+novatel_oem615[[#This Row],[GPS_FRAC_SECS]]</f>
        <v>206387087.92199999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>
        <v>-2584000</v>
      </c>
      <c r="M24">
        <v>-6253000</v>
      </c>
      <c r="N24">
        <v>402600</v>
      </c>
      <c r="O24">
        <v>4054</v>
      </c>
      <c r="P24">
        <v>-1283</v>
      </c>
      <c r="Q24">
        <v>6025</v>
      </c>
      <c r="R24">
        <v>2.5349731449999999</v>
      </c>
      <c r="S24">
        <v>-113.07424159999999</v>
      </c>
      <c r="T24">
        <v>400027.96879999997</v>
      </c>
      <c r="V24">
        <v>-5.66207E-4</v>
      </c>
      <c r="W24">
        <v>-3.0428170000000002E-3</v>
      </c>
      <c r="X24">
        <v>3.4574399999999999E-4</v>
      </c>
      <c r="Y24">
        <v>4.3004749999999998E-3</v>
      </c>
      <c r="Z24">
        <v>-5.36405E-4</v>
      </c>
      <c r="AA24">
        <v>-1.5202165E-2</v>
      </c>
      <c r="AC24">
        <v>0</v>
      </c>
      <c r="AD24">
        <f t="shared" si="0"/>
        <v>0</v>
      </c>
      <c r="AE24">
        <f t="shared" si="1"/>
        <v>0</v>
      </c>
      <c r="AF24">
        <f t="shared" si="2"/>
        <v>0</v>
      </c>
      <c r="AG24">
        <v>0</v>
      </c>
      <c r="AH24">
        <v>0</v>
      </c>
      <c r="AI24">
        <v>0</v>
      </c>
    </row>
    <row r="25" spans="1:35" x14ac:dyDescent="0.25">
      <c r="A25">
        <f>novatel_oem615[[#This Row],[GPS_WEEKS]]*604800+novatel_oem615[[#This Row],[GPS_SECONDS]]+novatel_oem615[[#This Row],[GPS_FRAC_SECS]]</f>
        <v>206387088.17199999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>
        <v>-2583000</v>
      </c>
      <c r="M25">
        <v>-6254000</v>
      </c>
      <c r="N25">
        <v>404100</v>
      </c>
      <c r="O25">
        <v>4054</v>
      </c>
      <c r="P25">
        <v>-1282</v>
      </c>
      <c r="Q25">
        <v>6025</v>
      </c>
      <c r="R25">
        <v>2.5349731449999999</v>
      </c>
      <c r="S25">
        <v>-113.07424159999999</v>
      </c>
      <c r="T25">
        <v>400027.96879999997</v>
      </c>
      <c r="V25">
        <v>-5.4474899999999997E-4</v>
      </c>
      <c r="W25">
        <v>-8.9705000000000004E-4</v>
      </c>
      <c r="X25">
        <v>5.6747299999999998E-4</v>
      </c>
      <c r="Y25">
        <v>3.9190049999999997E-3</v>
      </c>
      <c r="Z25">
        <v>-4.9229700000000005E-4</v>
      </c>
      <c r="AA25">
        <v>-1.4105439000000001E-2</v>
      </c>
      <c r="AC25">
        <v>0</v>
      </c>
      <c r="AD25">
        <f t="shared" si="0"/>
        <v>0</v>
      </c>
      <c r="AE25">
        <f t="shared" si="1"/>
        <v>0</v>
      </c>
      <c r="AF25">
        <f t="shared" si="2"/>
        <v>0</v>
      </c>
      <c r="AG25">
        <v>0</v>
      </c>
      <c r="AH25">
        <v>0</v>
      </c>
      <c r="AI25">
        <v>0</v>
      </c>
    </row>
    <row r="26" spans="1:35" x14ac:dyDescent="0.25">
      <c r="A26">
        <f>novatel_oem615[[#This Row],[GPS_WEEKS]]*604800+novatel_oem615[[#This Row],[GPS_SECONDS]]+novatel_oem615[[#This Row],[GPS_FRAC_SECS]]</f>
        <v>206387088.42199999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>
        <v>-2582000</v>
      </c>
      <c r="M26">
        <v>-6254000</v>
      </c>
      <c r="N26">
        <v>405600</v>
      </c>
      <c r="O26">
        <v>4055</v>
      </c>
      <c r="P26">
        <v>-1280</v>
      </c>
      <c r="Q26">
        <v>6025</v>
      </c>
      <c r="R26">
        <v>2.5349731449999999</v>
      </c>
      <c r="S26">
        <v>-113.07424159999999</v>
      </c>
      <c r="T26">
        <v>400027.96879999997</v>
      </c>
      <c r="V26">
        <v>-4.8812500000000001E-4</v>
      </c>
      <c r="W26">
        <v>-3.9637100000000002E-4</v>
      </c>
      <c r="X26">
        <v>5.8058600000000001E-4</v>
      </c>
      <c r="Y26">
        <v>4.1574239999999998E-3</v>
      </c>
      <c r="Z26">
        <v>-1.7996900000000001E-4</v>
      </c>
      <c r="AA26">
        <v>-1.3008713999999999E-2</v>
      </c>
      <c r="AC26">
        <v>0</v>
      </c>
      <c r="AD26">
        <f t="shared" si="0"/>
        <v>0</v>
      </c>
      <c r="AE26">
        <f t="shared" si="1"/>
        <v>0</v>
      </c>
      <c r="AF26">
        <f t="shared" si="2"/>
        <v>0</v>
      </c>
      <c r="AG26">
        <v>0</v>
      </c>
      <c r="AH26">
        <v>0</v>
      </c>
      <c r="AI26">
        <v>0</v>
      </c>
    </row>
    <row r="27" spans="1:35" x14ac:dyDescent="0.25">
      <c r="A27">
        <f>novatel_oem615[[#This Row],[GPS_WEEKS]]*604800+novatel_oem615[[#This Row],[GPS_SECONDS]]+novatel_oem615[[#This Row],[GPS_FRAC_SECS]]</f>
        <v>206387088.92199999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>
        <v>-2580000</v>
      </c>
      <c r="M27">
        <v>-6254000</v>
      </c>
      <c r="N27">
        <v>408600</v>
      </c>
      <c r="O27">
        <v>4057</v>
      </c>
      <c r="P27">
        <v>-1276</v>
      </c>
      <c r="Q27">
        <v>6025</v>
      </c>
      <c r="R27">
        <v>2.5349731449999999</v>
      </c>
      <c r="S27">
        <v>-113.07424159999999</v>
      </c>
      <c r="T27">
        <v>400027.96879999997</v>
      </c>
      <c r="V27">
        <v>-4.0944700000000001E-4</v>
      </c>
      <c r="W27">
        <v>-6.3806770000000004E-3</v>
      </c>
      <c r="X27">
        <v>-9.59E-5</v>
      </c>
      <c r="Y27">
        <v>4.4912099999999998E-3</v>
      </c>
      <c r="Z27">
        <v>3.82E-5</v>
      </c>
      <c r="AA27">
        <v>-1.3056397000000001E-2</v>
      </c>
      <c r="AC27">
        <v>0</v>
      </c>
      <c r="AD27">
        <f t="shared" si="0"/>
        <v>0</v>
      </c>
      <c r="AE27">
        <f t="shared" si="1"/>
        <v>0</v>
      </c>
      <c r="AF27">
        <f t="shared" si="2"/>
        <v>0</v>
      </c>
      <c r="AG27">
        <v>0</v>
      </c>
      <c r="AH27">
        <v>0</v>
      </c>
      <c r="AI27">
        <v>0</v>
      </c>
    </row>
    <row r="28" spans="1:35" x14ac:dyDescent="0.25">
      <c r="A28">
        <f>novatel_oem615[[#This Row],[GPS_WEEKS]]*604800+novatel_oem615[[#This Row],[GPS_SECONDS]]+novatel_oem615[[#This Row],[GPS_FRAC_SECS]]</f>
        <v>206387089.17199999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>
        <v>-2579000</v>
      </c>
      <c r="M28">
        <v>-6255000</v>
      </c>
      <c r="N28">
        <v>410100</v>
      </c>
      <c r="O28">
        <v>4057</v>
      </c>
      <c r="P28">
        <v>-1274</v>
      </c>
      <c r="Q28">
        <v>6025</v>
      </c>
      <c r="R28">
        <v>2.5349731449999999</v>
      </c>
      <c r="S28">
        <v>-113.07424159999999</v>
      </c>
      <c r="T28">
        <v>400027.96879999997</v>
      </c>
      <c r="V28">
        <v>-4.5832199999999999E-4</v>
      </c>
      <c r="W28">
        <v>-1.659989E-3</v>
      </c>
      <c r="X28">
        <v>4.4230400000000003E-4</v>
      </c>
      <c r="Y28">
        <v>4.2051079999999999E-3</v>
      </c>
      <c r="Z28">
        <v>-1.02483E-4</v>
      </c>
      <c r="AA28">
        <v>-1.3151764999999999E-2</v>
      </c>
      <c r="AC28">
        <v>0</v>
      </c>
      <c r="AD28">
        <f t="shared" si="0"/>
        <v>0</v>
      </c>
      <c r="AE28">
        <f t="shared" si="1"/>
        <v>0</v>
      </c>
      <c r="AF28">
        <f t="shared" si="2"/>
        <v>0</v>
      </c>
      <c r="AG28">
        <v>0</v>
      </c>
      <c r="AH28">
        <v>0</v>
      </c>
      <c r="AI28">
        <v>0</v>
      </c>
    </row>
    <row r="29" spans="1:35" x14ac:dyDescent="0.25">
      <c r="A29">
        <f>novatel_oem615[[#This Row],[GPS_WEEKS]]*604800+novatel_oem615[[#This Row],[GPS_SECONDS]]+novatel_oem615[[#This Row],[GPS_FRAC_SECS]]</f>
        <v>206387089.42199999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>
        <v>-2578000</v>
      </c>
      <c r="M29">
        <v>-6255000</v>
      </c>
      <c r="N29">
        <v>411600</v>
      </c>
      <c r="O29">
        <v>4058</v>
      </c>
      <c r="P29">
        <v>-1272</v>
      </c>
      <c r="Q29">
        <v>6025</v>
      </c>
      <c r="R29">
        <v>2.5349731449999999</v>
      </c>
      <c r="S29">
        <v>-113.07424159999999</v>
      </c>
      <c r="T29">
        <v>400027.96879999997</v>
      </c>
      <c r="V29">
        <v>-4.3150000000000003E-4</v>
      </c>
      <c r="W29">
        <v>-4.9173800000000003E-4</v>
      </c>
      <c r="X29">
        <v>5.3767099999999998E-4</v>
      </c>
      <c r="Y29">
        <v>3.871322E-3</v>
      </c>
      <c r="Z29">
        <v>-5.5999999999999999E-5</v>
      </c>
      <c r="AA29">
        <v>-1.2055039E-2</v>
      </c>
      <c r="AC29">
        <v>0</v>
      </c>
      <c r="AD29">
        <f t="shared" si="0"/>
        <v>0</v>
      </c>
      <c r="AE29">
        <f t="shared" si="1"/>
        <v>0</v>
      </c>
      <c r="AF29">
        <f t="shared" si="2"/>
        <v>0</v>
      </c>
      <c r="AG29">
        <v>0</v>
      </c>
      <c r="AH29">
        <v>0</v>
      </c>
      <c r="AI29">
        <v>0</v>
      </c>
    </row>
    <row r="30" spans="1:35" x14ac:dyDescent="0.25">
      <c r="A30">
        <f>novatel_oem615[[#This Row],[GPS_WEEKS]]*604800+novatel_oem615[[#This Row],[GPS_SECONDS]]+novatel_oem615[[#This Row],[GPS_FRAC_SECS]]</f>
        <v>206387089.67199999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-2577000</v>
      </c>
      <c r="M30">
        <v>-6255000</v>
      </c>
      <c r="N30">
        <v>413100</v>
      </c>
      <c r="O30">
        <v>4059</v>
      </c>
      <c r="P30">
        <v>-1270</v>
      </c>
      <c r="Q30">
        <v>6025</v>
      </c>
      <c r="R30">
        <v>2.5349731449999999</v>
      </c>
      <c r="S30">
        <v>-113.07424159999999</v>
      </c>
      <c r="T30">
        <v>400027.96879999997</v>
      </c>
      <c r="V30">
        <v>-2.8964099999999999E-4</v>
      </c>
      <c r="W30">
        <v>-6.4522030000000001E-3</v>
      </c>
      <c r="X30">
        <v>-1.50762E-4</v>
      </c>
      <c r="Y30">
        <v>3.7759540000000002E-3</v>
      </c>
      <c r="Z30">
        <v>1.29975E-4</v>
      </c>
      <c r="AA30">
        <v>-1.0886788E-2</v>
      </c>
      <c r="AC30">
        <v>0</v>
      </c>
      <c r="AD30">
        <f t="shared" si="0"/>
        <v>0</v>
      </c>
      <c r="AE30">
        <f t="shared" si="1"/>
        <v>0</v>
      </c>
      <c r="AF30">
        <f t="shared" si="2"/>
        <v>0</v>
      </c>
      <c r="AG30">
        <v>0</v>
      </c>
      <c r="AH30">
        <v>0</v>
      </c>
      <c r="AI30">
        <v>0</v>
      </c>
    </row>
    <row r="31" spans="1:35" x14ac:dyDescent="0.25">
      <c r="A31">
        <f>novatel_oem615[[#This Row],[GPS_WEEKS]]*604800+novatel_oem615[[#This Row],[GPS_SECONDS]]+novatel_oem615[[#This Row],[GPS_FRAC_SECS]]</f>
        <v>206387089.92199999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-2576000</v>
      </c>
      <c r="M31">
        <v>-6256000</v>
      </c>
      <c r="N31">
        <v>414600</v>
      </c>
      <c r="O31">
        <v>4060</v>
      </c>
      <c r="P31">
        <v>-1269</v>
      </c>
      <c r="Q31">
        <v>6024</v>
      </c>
      <c r="R31">
        <v>2.5349731449999999</v>
      </c>
      <c r="S31">
        <v>-113.07424159999999</v>
      </c>
      <c r="T31">
        <v>400027.96879999997</v>
      </c>
      <c r="V31">
        <v>-2.9679400000000002E-4</v>
      </c>
      <c r="W31">
        <v>-1.5884639999999999E-3</v>
      </c>
      <c r="X31">
        <v>3.3501499999999998E-4</v>
      </c>
      <c r="Y31">
        <v>3.5852190000000002E-3</v>
      </c>
      <c r="Z31">
        <v>1.5024099999999999E-4</v>
      </c>
      <c r="AA31">
        <v>-9.8615879999999993E-3</v>
      </c>
      <c r="AC31">
        <v>0</v>
      </c>
      <c r="AD31">
        <f t="shared" si="0"/>
        <v>0</v>
      </c>
      <c r="AE31">
        <f t="shared" si="1"/>
        <v>0</v>
      </c>
      <c r="AF31">
        <f t="shared" si="2"/>
        <v>0</v>
      </c>
      <c r="AG31">
        <v>0</v>
      </c>
      <c r="AH31">
        <v>0</v>
      </c>
      <c r="AI31">
        <v>0</v>
      </c>
    </row>
    <row r="32" spans="1:35" x14ac:dyDescent="0.25">
      <c r="A32">
        <f>novatel_oem615[[#This Row],[GPS_WEEKS]]*604800+novatel_oem615[[#This Row],[GPS_SECONDS]]+novatel_oem615[[#This Row],[GPS_FRAC_SECS]]</f>
        <v>206387090.17199999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>
        <v>-2575000</v>
      </c>
      <c r="M32">
        <v>-6256000</v>
      </c>
      <c r="N32">
        <v>416000</v>
      </c>
      <c r="O32">
        <v>4061</v>
      </c>
      <c r="P32">
        <v>-1267</v>
      </c>
      <c r="Q32">
        <v>6024</v>
      </c>
      <c r="R32">
        <v>2.5349731449999999</v>
      </c>
      <c r="S32">
        <v>-113.07424159999999</v>
      </c>
      <c r="T32">
        <v>400027.96879999997</v>
      </c>
      <c r="V32">
        <v>-2.9202600000000003E-4</v>
      </c>
      <c r="W32">
        <v>-3.0100299999999999E-4</v>
      </c>
      <c r="X32">
        <v>4.3515099999999999E-4</v>
      </c>
      <c r="Y32">
        <v>3.3468009999999999E-3</v>
      </c>
      <c r="Z32">
        <v>1.7765899999999999E-4</v>
      </c>
      <c r="AA32">
        <v>-8.97944E-3</v>
      </c>
      <c r="AC32">
        <v>0</v>
      </c>
      <c r="AD32">
        <f t="shared" si="0"/>
        <v>0</v>
      </c>
      <c r="AE32">
        <f t="shared" si="1"/>
        <v>0</v>
      </c>
      <c r="AF32">
        <f t="shared" si="2"/>
        <v>0</v>
      </c>
      <c r="AG32">
        <v>0</v>
      </c>
      <c r="AH32">
        <v>0</v>
      </c>
      <c r="AI32">
        <v>0</v>
      </c>
    </row>
    <row r="33" spans="1:35" x14ac:dyDescent="0.25">
      <c r="A33">
        <f>novatel_oem615[[#This Row],[GPS_WEEKS]]*604800+novatel_oem615[[#This Row],[GPS_SECONDS]]+novatel_oem615[[#This Row],[GPS_FRAC_SECS]]</f>
        <v>206387090.42199999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>
        <v>-2574000</v>
      </c>
      <c r="M33">
        <v>-6256000</v>
      </c>
      <c r="N33">
        <v>417500</v>
      </c>
      <c r="O33">
        <v>4061</v>
      </c>
      <c r="P33">
        <v>-1265</v>
      </c>
      <c r="Q33">
        <v>6024</v>
      </c>
      <c r="R33">
        <v>2.5349731449999999</v>
      </c>
      <c r="S33">
        <v>-113.07424159999999</v>
      </c>
      <c r="T33">
        <v>400027.96879999997</v>
      </c>
      <c r="V33">
        <v>-1.5493500000000001E-4</v>
      </c>
      <c r="W33">
        <v>-4.9740080000000002E-3</v>
      </c>
      <c r="X33">
        <v>-8.0400000000000003E-5</v>
      </c>
      <c r="Y33">
        <v>3.2514330000000002E-3</v>
      </c>
      <c r="Z33">
        <v>3.0640499999999999E-4</v>
      </c>
      <c r="AA33">
        <v>-8.1688170000000001E-3</v>
      </c>
      <c r="AC33">
        <v>0</v>
      </c>
      <c r="AD33">
        <f t="shared" si="0"/>
        <v>0</v>
      </c>
      <c r="AE33">
        <f t="shared" si="1"/>
        <v>0</v>
      </c>
      <c r="AF33">
        <f t="shared" si="2"/>
        <v>0</v>
      </c>
      <c r="AG33">
        <v>0</v>
      </c>
      <c r="AH33">
        <v>0</v>
      </c>
      <c r="AI33">
        <v>0</v>
      </c>
    </row>
    <row r="34" spans="1:35" x14ac:dyDescent="0.25">
      <c r="A34">
        <f>novatel_oem615[[#This Row],[GPS_WEEKS]]*604800+novatel_oem615[[#This Row],[GPS_SECONDS]]+novatel_oem615[[#This Row],[GPS_FRAC_SECS]]</f>
        <v>206387090.67199999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>
        <v>-2573000</v>
      </c>
      <c r="M34">
        <v>-6257000</v>
      </c>
      <c r="N34">
        <v>419000</v>
      </c>
      <c r="O34">
        <v>4062</v>
      </c>
      <c r="P34">
        <v>-1263</v>
      </c>
      <c r="Q34">
        <v>6024</v>
      </c>
      <c r="R34">
        <v>2.5349731449999999</v>
      </c>
      <c r="S34">
        <v>-113.07424159999999</v>
      </c>
      <c r="T34">
        <v>400027.96879999997</v>
      </c>
      <c r="V34">
        <v>-2.31229E-4</v>
      </c>
      <c r="W34">
        <v>-1.27852E-3</v>
      </c>
      <c r="X34">
        <v>3.0282900000000001E-4</v>
      </c>
      <c r="Y34">
        <v>3.1083819999999998E-3</v>
      </c>
      <c r="Z34">
        <v>2.0746100000000001E-4</v>
      </c>
      <c r="AA34">
        <v>-8.2403419999999995E-3</v>
      </c>
      <c r="AC34">
        <v>0</v>
      </c>
      <c r="AD34">
        <f t="shared" si="0"/>
        <v>0</v>
      </c>
      <c r="AE34">
        <f t="shared" si="1"/>
        <v>0</v>
      </c>
      <c r="AF34">
        <f t="shared" si="2"/>
        <v>0</v>
      </c>
      <c r="AG34">
        <v>0</v>
      </c>
      <c r="AH34">
        <v>0</v>
      </c>
      <c r="AI34">
        <v>0</v>
      </c>
    </row>
    <row r="35" spans="1:35" x14ac:dyDescent="0.25">
      <c r="A35">
        <f>novatel_oem615[[#This Row],[GPS_WEEKS]]*604800+novatel_oem615[[#This Row],[GPS_SECONDS]]+novatel_oem615[[#This Row],[GPS_FRAC_SECS]]</f>
        <v>206387090.92199999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>
        <v>-2572000</v>
      </c>
      <c r="M35">
        <v>-6257000</v>
      </c>
      <c r="N35">
        <v>420500</v>
      </c>
      <c r="O35">
        <v>4063</v>
      </c>
      <c r="P35">
        <v>-1261</v>
      </c>
      <c r="Q35">
        <v>6024</v>
      </c>
      <c r="R35">
        <v>2.5349731449999999</v>
      </c>
      <c r="S35">
        <v>-113.07424159999999</v>
      </c>
      <c r="T35">
        <v>400027.96879999997</v>
      </c>
      <c r="V35">
        <v>-2.5864699999999998E-4</v>
      </c>
      <c r="W35">
        <v>-6.1094800000000005E-4</v>
      </c>
      <c r="X35">
        <v>3.7912299999999998E-4</v>
      </c>
      <c r="Y35">
        <v>2.869964E-3</v>
      </c>
      <c r="Z35">
        <v>1.2520700000000001E-4</v>
      </c>
      <c r="AA35">
        <v>-8.3357099999999996E-3</v>
      </c>
      <c r="AC35">
        <v>0</v>
      </c>
      <c r="AD35">
        <f t="shared" si="0"/>
        <v>0</v>
      </c>
      <c r="AE35">
        <f t="shared" si="1"/>
        <v>0</v>
      </c>
      <c r="AF35">
        <f t="shared" si="2"/>
        <v>0</v>
      </c>
      <c r="AG35">
        <v>0</v>
      </c>
      <c r="AH35">
        <v>0</v>
      </c>
      <c r="AI35">
        <v>0</v>
      </c>
    </row>
    <row r="36" spans="1:35" x14ac:dyDescent="0.25">
      <c r="A36">
        <f>novatel_oem615[[#This Row],[GPS_WEEKS]]*604800+novatel_oem615[[#This Row],[GPS_SECONDS]]+novatel_oem615[[#This Row],[GPS_FRAC_SECS]]</f>
        <v>206387091.17199999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>
        <v>-2571000</v>
      </c>
      <c r="M36">
        <v>-6257000</v>
      </c>
      <c r="N36">
        <v>422000</v>
      </c>
      <c r="O36">
        <v>4064</v>
      </c>
      <c r="P36">
        <v>-1259</v>
      </c>
      <c r="Q36">
        <v>6024</v>
      </c>
      <c r="R36">
        <v>2.5349731449999999</v>
      </c>
      <c r="S36">
        <v>-113.07424159999999</v>
      </c>
      <c r="T36">
        <v>400027.96879999997</v>
      </c>
      <c r="V36">
        <v>-2.03215E-4</v>
      </c>
      <c r="W36">
        <v>-1.111627E-3</v>
      </c>
      <c r="X36">
        <v>2.8613999999999999E-4</v>
      </c>
      <c r="Y36">
        <v>2.7269120000000002E-3</v>
      </c>
      <c r="Z36">
        <v>1.8481199999999999E-4</v>
      </c>
      <c r="AA36">
        <v>-7.4297190000000004E-3</v>
      </c>
      <c r="AC36">
        <v>0</v>
      </c>
      <c r="AD36">
        <f t="shared" si="0"/>
        <v>0</v>
      </c>
      <c r="AE36">
        <f t="shared" si="1"/>
        <v>0</v>
      </c>
      <c r="AF36">
        <f t="shared" si="2"/>
        <v>0</v>
      </c>
      <c r="AG36">
        <v>0</v>
      </c>
      <c r="AH36">
        <v>0</v>
      </c>
      <c r="AI36">
        <v>0</v>
      </c>
    </row>
    <row r="37" spans="1:35" x14ac:dyDescent="0.25">
      <c r="A37">
        <f>novatel_oem615[[#This Row],[GPS_WEEKS]]*604800+novatel_oem615[[#This Row],[GPS_SECONDS]]+novatel_oem615[[#This Row],[GPS_FRAC_SECS]]</f>
        <v>206387091.42199999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>
        <v>-2570000</v>
      </c>
      <c r="M37">
        <v>-6258000</v>
      </c>
      <c r="N37">
        <v>423500</v>
      </c>
      <c r="O37">
        <v>4064</v>
      </c>
      <c r="P37">
        <v>-1258</v>
      </c>
      <c r="Q37">
        <v>6024</v>
      </c>
      <c r="R37">
        <v>2.5349731449999999</v>
      </c>
      <c r="S37">
        <v>-113.07424159999999</v>
      </c>
      <c r="T37">
        <v>400027.96879999997</v>
      </c>
      <c r="V37">
        <v>-1.9189000000000001E-4</v>
      </c>
      <c r="W37">
        <v>-3.9637100000000002E-4</v>
      </c>
      <c r="X37">
        <v>3.21902E-4</v>
      </c>
      <c r="Y37">
        <v>2.536178E-3</v>
      </c>
      <c r="Z37">
        <v>2.15806E-4</v>
      </c>
      <c r="AA37">
        <v>-6.6429380000000001E-3</v>
      </c>
      <c r="AC37">
        <v>0</v>
      </c>
      <c r="AD37">
        <f t="shared" si="0"/>
        <v>0</v>
      </c>
      <c r="AE37">
        <f t="shared" si="1"/>
        <v>0</v>
      </c>
      <c r="AF37">
        <f t="shared" si="2"/>
        <v>0</v>
      </c>
      <c r="AG37">
        <v>0</v>
      </c>
      <c r="AH37">
        <v>0</v>
      </c>
      <c r="AI37">
        <v>0</v>
      </c>
    </row>
    <row r="38" spans="1:35" x14ac:dyDescent="0.25">
      <c r="A38">
        <f>novatel_oem615[[#This Row],[GPS_WEEKS]]*604800+novatel_oem615[[#This Row],[GPS_SECONDS]]+novatel_oem615[[#This Row],[GPS_FRAC_SECS]]</f>
        <v>206387091.67199999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-2569000</v>
      </c>
      <c r="M38">
        <v>-6258000</v>
      </c>
      <c r="N38">
        <v>425100</v>
      </c>
      <c r="O38">
        <v>4065</v>
      </c>
      <c r="P38">
        <v>-1256</v>
      </c>
      <c r="Q38">
        <v>6023</v>
      </c>
      <c r="R38">
        <v>2.5349731449999999</v>
      </c>
      <c r="S38">
        <v>-113.07424159999999</v>
      </c>
      <c r="T38">
        <v>400027.96879999997</v>
      </c>
      <c r="V38">
        <v>-3.9900000000000001E-5</v>
      </c>
      <c r="W38">
        <v>-4.354119E-3</v>
      </c>
      <c r="X38">
        <v>-1.12019E-4</v>
      </c>
      <c r="Y38">
        <v>3.1083819999999998E-3</v>
      </c>
      <c r="Z38">
        <v>5.8058600000000001E-4</v>
      </c>
      <c r="AA38">
        <v>-5.9515239999999997E-3</v>
      </c>
      <c r="AC38">
        <v>0</v>
      </c>
      <c r="AD38">
        <f t="shared" si="0"/>
        <v>0</v>
      </c>
      <c r="AE38">
        <f t="shared" si="1"/>
        <v>0</v>
      </c>
      <c r="AF38">
        <f t="shared" si="2"/>
        <v>0</v>
      </c>
      <c r="AG38">
        <v>0</v>
      </c>
      <c r="AH38">
        <v>0</v>
      </c>
      <c r="AI38">
        <v>0</v>
      </c>
    </row>
    <row r="39" spans="1:35" x14ac:dyDescent="0.25">
      <c r="A39">
        <f>novatel_oem615[[#This Row],[GPS_WEEKS]]*604800+novatel_oem615[[#This Row],[GPS_SECONDS]]+novatel_oem615[[#This Row],[GPS_FRAC_SECS]]</f>
        <v>206387091.92199999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>
        <v>-2568000</v>
      </c>
      <c r="M39">
        <v>-6258000</v>
      </c>
      <c r="N39">
        <v>426600</v>
      </c>
      <c r="O39">
        <v>4066</v>
      </c>
      <c r="P39">
        <v>-1254</v>
      </c>
      <c r="Q39">
        <v>6023</v>
      </c>
      <c r="R39">
        <v>2.5349731449999999</v>
      </c>
      <c r="S39">
        <v>-113.07424159999999</v>
      </c>
      <c r="T39">
        <v>400027.96879999997</v>
      </c>
      <c r="V39">
        <v>-1.09039E-4</v>
      </c>
      <c r="W39">
        <v>-1.0401010000000001E-3</v>
      </c>
      <c r="X39">
        <v>2.1103800000000001E-4</v>
      </c>
      <c r="Y39">
        <v>3.4898519999999999E-3</v>
      </c>
      <c r="Z39">
        <v>7.0694799999999999E-4</v>
      </c>
      <c r="AA39">
        <v>-6.0468910000000004E-3</v>
      </c>
      <c r="AC39">
        <v>0</v>
      </c>
      <c r="AD39">
        <f t="shared" si="0"/>
        <v>0</v>
      </c>
      <c r="AE39">
        <f t="shared" si="1"/>
        <v>0</v>
      </c>
      <c r="AF39">
        <f t="shared" si="2"/>
        <v>0</v>
      </c>
      <c r="AG39">
        <v>0</v>
      </c>
      <c r="AH39">
        <v>0</v>
      </c>
      <c r="AI39">
        <v>0</v>
      </c>
    </row>
    <row r="40" spans="1:35" x14ac:dyDescent="0.25">
      <c r="A40">
        <f>novatel_oem615[[#This Row],[GPS_WEEKS]]*604800+novatel_oem615[[#This Row],[GPS_SECONDS]]+novatel_oem615[[#This Row],[GPS_FRAC_SECS]]</f>
        <v>206387092.17199999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-2567000</v>
      </c>
      <c r="M40">
        <v>-6259000</v>
      </c>
      <c r="N40">
        <v>428000</v>
      </c>
      <c r="O40">
        <v>4067</v>
      </c>
      <c r="P40">
        <v>-1252</v>
      </c>
      <c r="Q40">
        <v>6023</v>
      </c>
      <c r="R40">
        <v>2.5349731449999999</v>
      </c>
      <c r="S40">
        <v>-113.07424159999999</v>
      </c>
      <c r="T40">
        <v>400027.96879999997</v>
      </c>
      <c r="V40">
        <v>-1.37649E-4</v>
      </c>
      <c r="W40">
        <v>-6.2600000000000004E-5</v>
      </c>
      <c r="X40">
        <v>3.07597E-4</v>
      </c>
      <c r="Y40">
        <v>3.6805869999999999E-3</v>
      </c>
      <c r="Z40">
        <v>7.8920300000000004E-4</v>
      </c>
      <c r="AA40">
        <v>-6.1422589999999997E-3</v>
      </c>
      <c r="AC40">
        <v>0</v>
      </c>
      <c r="AD40">
        <f t="shared" si="0"/>
        <v>0</v>
      </c>
      <c r="AE40">
        <f t="shared" si="1"/>
        <v>0</v>
      </c>
      <c r="AF40">
        <f t="shared" si="2"/>
        <v>0</v>
      </c>
      <c r="AG40">
        <v>0</v>
      </c>
      <c r="AH40">
        <v>0</v>
      </c>
      <c r="AI40">
        <v>0</v>
      </c>
    </row>
    <row r="41" spans="1:35" x14ac:dyDescent="0.25">
      <c r="A41">
        <f>novatel_oem615[[#This Row],[GPS_WEEKS]]*604800+novatel_oem615[[#This Row],[GPS_SECONDS]]+novatel_oem615[[#This Row],[GPS_FRAC_SECS]]</f>
        <v>206387092.42199999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-2566000</v>
      </c>
      <c r="M41">
        <v>-6259000</v>
      </c>
      <c r="N41">
        <v>429500</v>
      </c>
      <c r="O41">
        <v>4068</v>
      </c>
      <c r="P41">
        <v>-1250</v>
      </c>
      <c r="Q41">
        <v>6023</v>
      </c>
      <c r="R41">
        <v>2.5349731449999999</v>
      </c>
      <c r="S41">
        <v>-113.07424159999999</v>
      </c>
      <c r="T41">
        <v>400027.96879999997</v>
      </c>
      <c r="V41">
        <v>-9.7100000000000002E-5</v>
      </c>
      <c r="W41">
        <v>-1.516938E-3</v>
      </c>
      <c r="X41">
        <v>1.69314E-4</v>
      </c>
      <c r="Y41">
        <v>3.5852190000000002E-3</v>
      </c>
      <c r="Z41">
        <v>7.5105599999999995E-4</v>
      </c>
      <c r="AA41">
        <v>-6.2376259999999996E-3</v>
      </c>
      <c r="AC41">
        <v>0</v>
      </c>
      <c r="AD41">
        <f t="shared" si="0"/>
        <v>0</v>
      </c>
      <c r="AE41">
        <f t="shared" si="1"/>
        <v>0</v>
      </c>
      <c r="AF41">
        <f t="shared" si="2"/>
        <v>0</v>
      </c>
      <c r="AG41">
        <v>0</v>
      </c>
      <c r="AH41">
        <v>0</v>
      </c>
      <c r="AI41">
        <v>0</v>
      </c>
    </row>
    <row r="42" spans="1:35" x14ac:dyDescent="0.25">
      <c r="A42">
        <f>novatel_oem615[[#This Row],[GPS_WEEKS]]*604800+novatel_oem615[[#This Row],[GPS_SECONDS]]+novatel_oem615[[#This Row],[GPS_FRAC_SECS]]</f>
        <v>206387092.67199999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-2565000</v>
      </c>
      <c r="M42">
        <v>-6259000</v>
      </c>
      <c r="N42">
        <v>431000</v>
      </c>
      <c r="O42">
        <v>4068</v>
      </c>
      <c r="P42">
        <v>-1248</v>
      </c>
      <c r="Q42">
        <v>6023</v>
      </c>
      <c r="R42">
        <v>2.5349731449999999</v>
      </c>
      <c r="S42">
        <v>-113.07424159999999</v>
      </c>
      <c r="T42">
        <v>400027.96879999997</v>
      </c>
      <c r="V42">
        <v>-1.09635E-4</v>
      </c>
      <c r="W42">
        <v>1.04308E-4</v>
      </c>
      <c r="X42">
        <v>2.8733200000000001E-4</v>
      </c>
      <c r="Y42">
        <v>3.6805869999999999E-3</v>
      </c>
      <c r="Z42">
        <v>8.7861000000000005E-4</v>
      </c>
      <c r="AA42">
        <v>-5.4985279999999999E-3</v>
      </c>
      <c r="AC42">
        <v>0</v>
      </c>
      <c r="AD42">
        <f t="shared" si="0"/>
        <v>0</v>
      </c>
      <c r="AE42">
        <f t="shared" si="1"/>
        <v>0</v>
      </c>
      <c r="AF42">
        <f t="shared" si="2"/>
        <v>0</v>
      </c>
      <c r="AG42">
        <v>0</v>
      </c>
      <c r="AH42">
        <v>0</v>
      </c>
      <c r="AI42">
        <v>0</v>
      </c>
    </row>
    <row r="43" spans="1:35" x14ac:dyDescent="0.25">
      <c r="A43">
        <f>novatel_oem615[[#This Row],[GPS_WEEKS]]*604800+novatel_oem615[[#This Row],[GPS_SECONDS]]+novatel_oem615[[#This Row],[GPS_FRAC_SECS]]</f>
        <v>206387092.92199999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-2564000</v>
      </c>
      <c r="M43">
        <v>-6259000</v>
      </c>
      <c r="N43">
        <v>432500</v>
      </c>
      <c r="O43">
        <v>4069</v>
      </c>
      <c r="P43">
        <v>-1246</v>
      </c>
      <c r="Q43">
        <v>6023</v>
      </c>
      <c r="R43">
        <v>2.5349731449999999</v>
      </c>
      <c r="S43">
        <v>-113.07424159999999</v>
      </c>
      <c r="T43">
        <v>400027.96879999997</v>
      </c>
      <c r="V43">
        <v>3.2199999999999997E-5</v>
      </c>
      <c r="W43">
        <v>-3.6388639999999999E-3</v>
      </c>
      <c r="X43">
        <v>-1.12019E-4</v>
      </c>
      <c r="Y43">
        <v>3.6805869999999999E-3</v>
      </c>
      <c r="Z43">
        <v>9.7993800000000008E-4</v>
      </c>
      <c r="AA43">
        <v>-4.830956E-3</v>
      </c>
      <c r="AC43">
        <v>0</v>
      </c>
      <c r="AD43">
        <f t="shared" si="0"/>
        <v>0</v>
      </c>
      <c r="AE43">
        <f t="shared" si="1"/>
        <v>0</v>
      </c>
      <c r="AF43">
        <f t="shared" si="2"/>
        <v>0</v>
      </c>
      <c r="AG43">
        <v>0</v>
      </c>
      <c r="AH43">
        <v>0</v>
      </c>
      <c r="AI43">
        <v>0</v>
      </c>
    </row>
    <row r="44" spans="1:35" x14ac:dyDescent="0.25">
      <c r="A44">
        <f>novatel_oem615[[#This Row],[GPS_WEEKS]]*604800+novatel_oem615[[#This Row],[GPS_SECONDS]]+novatel_oem615[[#This Row],[GPS_FRAC_SECS]]</f>
        <v>206387093.17199999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>
        <v>-2563000</v>
      </c>
      <c r="M44">
        <v>-6260000</v>
      </c>
      <c r="N44">
        <v>434000</v>
      </c>
      <c r="O44">
        <v>4070</v>
      </c>
      <c r="P44">
        <v>-1245</v>
      </c>
      <c r="Q44">
        <v>6023</v>
      </c>
      <c r="R44">
        <v>2.5349731449999999</v>
      </c>
      <c r="S44">
        <v>-113.07424159999999</v>
      </c>
      <c r="T44">
        <v>400027.96879999997</v>
      </c>
      <c r="V44">
        <v>-5.0599999999999997E-5</v>
      </c>
      <c r="W44">
        <v>-8.2552400000000001E-4</v>
      </c>
      <c r="X44">
        <v>1.6573799999999999E-4</v>
      </c>
      <c r="Y44">
        <v>3.5852190000000002E-3</v>
      </c>
      <c r="Z44">
        <v>9.2152499999999997E-4</v>
      </c>
      <c r="AA44">
        <v>-4.9263240000000002E-3</v>
      </c>
      <c r="AC44">
        <v>0</v>
      </c>
      <c r="AD44">
        <f t="shared" si="0"/>
        <v>0</v>
      </c>
      <c r="AE44">
        <f t="shared" si="1"/>
        <v>0</v>
      </c>
      <c r="AF44">
        <f t="shared" si="2"/>
        <v>0</v>
      </c>
      <c r="AG44">
        <v>0</v>
      </c>
      <c r="AH44">
        <v>0</v>
      </c>
      <c r="AI44">
        <v>0</v>
      </c>
    </row>
    <row r="45" spans="1:35" x14ac:dyDescent="0.25">
      <c r="A45">
        <f>novatel_oem615[[#This Row],[GPS_WEEKS]]*604800+novatel_oem615[[#This Row],[GPS_SECONDS]]+novatel_oem615[[#This Row],[GPS_FRAC_SECS]]</f>
        <v>206387093.42199999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-2562000</v>
      </c>
      <c r="M45">
        <v>-6260000</v>
      </c>
      <c r="N45">
        <v>435500</v>
      </c>
      <c r="O45">
        <v>4071</v>
      </c>
      <c r="P45">
        <v>-1243</v>
      </c>
      <c r="Q45">
        <v>6022</v>
      </c>
      <c r="R45">
        <v>2.5349731449999999</v>
      </c>
      <c r="S45">
        <v>-113.07424159999999</v>
      </c>
      <c r="T45">
        <v>400027.96879999997</v>
      </c>
      <c r="V45">
        <v>-9.4099999999999997E-5</v>
      </c>
      <c r="W45">
        <v>1.99676E-4</v>
      </c>
      <c r="X45">
        <v>2.7064199999999997E-4</v>
      </c>
      <c r="Y45">
        <v>3.4421679999999998E-3</v>
      </c>
      <c r="Z45">
        <v>8.5834400000000003E-4</v>
      </c>
      <c r="AA45">
        <v>-5.021691E-3</v>
      </c>
      <c r="AC45">
        <v>0</v>
      </c>
      <c r="AD45">
        <f t="shared" si="0"/>
        <v>0</v>
      </c>
      <c r="AE45">
        <f t="shared" si="1"/>
        <v>0</v>
      </c>
      <c r="AF45">
        <f t="shared" si="2"/>
        <v>0</v>
      </c>
      <c r="AG45">
        <v>0</v>
      </c>
      <c r="AH45">
        <v>0</v>
      </c>
      <c r="AI45">
        <v>0</v>
      </c>
    </row>
    <row r="46" spans="1:35" x14ac:dyDescent="0.25">
      <c r="A46">
        <f>novatel_oem615[[#This Row],[GPS_WEEKS]]*604800+novatel_oem615[[#This Row],[GPS_SECONDS]]+novatel_oem615[[#This Row],[GPS_FRAC_SECS]]</f>
        <v>206387093.67199999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-2561000</v>
      </c>
      <c r="M46">
        <v>-6260000</v>
      </c>
      <c r="N46">
        <v>437000</v>
      </c>
      <c r="O46">
        <v>4071</v>
      </c>
      <c r="P46">
        <v>-1241</v>
      </c>
      <c r="Q46">
        <v>6022</v>
      </c>
      <c r="R46">
        <v>2.5349731449999999</v>
      </c>
      <c r="S46">
        <v>-113.07424159999999</v>
      </c>
      <c r="T46">
        <v>400027.96879999997</v>
      </c>
      <c r="V46">
        <v>-9.3499999999999996E-5</v>
      </c>
      <c r="W46">
        <v>-1.49E-5</v>
      </c>
      <c r="X46">
        <v>2.5633699999999998E-4</v>
      </c>
      <c r="Y46">
        <v>3.2991169999999998E-3</v>
      </c>
      <c r="Z46">
        <v>8.0350799999999998E-4</v>
      </c>
      <c r="AA46">
        <v>-5.1170590000000002E-3</v>
      </c>
      <c r="AC46">
        <v>0</v>
      </c>
      <c r="AD46">
        <f t="shared" si="0"/>
        <v>0</v>
      </c>
      <c r="AE46">
        <f t="shared" si="1"/>
        <v>0</v>
      </c>
      <c r="AF46">
        <f t="shared" si="2"/>
        <v>0</v>
      </c>
      <c r="AG46">
        <v>0</v>
      </c>
      <c r="AH46">
        <v>0</v>
      </c>
      <c r="AI46">
        <v>0</v>
      </c>
    </row>
    <row r="47" spans="1:35" x14ac:dyDescent="0.25">
      <c r="A47">
        <f>novatel_oem615[[#This Row],[GPS_WEEKS]]*604800+novatel_oem615[[#This Row],[GPS_SECONDS]]+novatel_oem615[[#This Row],[GPS_FRAC_SECS]]</f>
        <v>206387093.92199999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-2560000</v>
      </c>
      <c r="M47">
        <v>-6261000</v>
      </c>
      <c r="N47">
        <v>438500</v>
      </c>
      <c r="O47">
        <v>4072</v>
      </c>
      <c r="P47">
        <v>-1239</v>
      </c>
      <c r="Q47">
        <v>6022</v>
      </c>
      <c r="R47">
        <v>2.5349731449999999</v>
      </c>
      <c r="S47">
        <v>-113.07424159999999</v>
      </c>
      <c r="T47">
        <v>400027.96879999997</v>
      </c>
      <c r="V47">
        <v>-1.14404E-4</v>
      </c>
      <c r="W47">
        <v>3.4272699999999997E-4</v>
      </c>
      <c r="X47">
        <v>2.9806E-4</v>
      </c>
      <c r="Y47">
        <v>3.1560659999999999E-3</v>
      </c>
      <c r="Z47">
        <v>7.3913500000000003E-4</v>
      </c>
      <c r="AA47">
        <v>-5.1885840000000004E-3</v>
      </c>
      <c r="AC47">
        <v>1</v>
      </c>
      <c r="AD47">
        <f t="shared" si="0"/>
        <v>0</v>
      </c>
      <c r="AE47">
        <f t="shared" si="1"/>
        <v>3</v>
      </c>
      <c r="AF47">
        <f t="shared" si="2"/>
        <v>0</v>
      </c>
      <c r="AG47">
        <v>0</v>
      </c>
      <c r="AH47">
        <v>0</v>
      </c>
      <c r="AI47">
        <v>0</v>
      </c>
    </row>
    <row r="48" spans="1:35" x14ac:dyDescent="0.25">
      <c r="A48">
        <f>novatel_oem615[[#This Row],[GPS_WEEKS]]*604800+novatel_oem615[[#This Row],[GPS_SECONDS]]+novatel_oem615[[#This Row],[GPS_FRAC_SECS]]</f>
        <v>206387093.92199999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>
        <v>-2560000</v>
      </c>
      <c r="M48">
        <v>-6261000</v>
      </c>
      <c r="N48">
        <v>438500</v>
      </c>
      <c r="O48">
        <v>4072</v>
      </c>
      <c r="P48">
        <v>-1239</v>
      </c>
      <c r="Q48">
        <v>6022</v>
      </c>
      <c r="R48">
        <v>3.7449572089999998</v>
      </c>
      <c r="S48">
        <v>-112.23027039999999</v>
      </c>
      <c r="T48">
        <v>399986.09379999997</v>
      </c>
      <c r="V48">
        <v>-9.8900000000000005E-5</v>
      </c>
      <c r="W48">
        <v>6.7651300000000001E-4</v>
      </c>
      <c r="X48">
        <v>2.9448400000000002E-4</v>
      </c>
      <c r="Y48">
        <v>3.013015E-3</v>
      </c>
      <c r="Z48">
        <v>7.6774500000000002E-4</v>
      </c>
      <c r="AA48">
        <v>-4.4494870000000002E-3</v>
      </c>
      <c r="AC48">
        <v>0</v>
      </c>
      <c r="AD48">
        <f t="shared" si="0"/>
        <v>0</v>
      </c>
      <c r="AE48">
        <f t="shared" si="1"/>
        <v>0</v>
      </c>
      <c r="AF48">
        <f t="shared" si="2"/>
        <v>0</v>
      </c>
      <c r="AG48">
        <v>0</v>
      </c>
      <c r="AH48">
        <v>0</v>
      </c>
      <c r="AI48">
        <v>0</v>
      </c>
    </row>
    <row r="49" spans="1:35" x14ac:dyDescent="0.25">
      <c r="A49">
        <f>novatel_oem615[[#This Row],[GPS_WEEKS]]*604800+novatel_oem615[[#This Row],[GPS_SECONDS]]+novatel_oem615[[#This Row],[GPS_FRAC_SECS]]</f>
        <v>206387094.42199999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>
        <v>-2558000</v>
      </c>
      <c r="M49">
        <v>-6261000</v>
      </c>
      <c r="N49">
        <v>441400</v>
      </c>
      <c r="O49">
        <v>4074</v>
      </c>
      <c r="P49">
        <v>-1235</v>
      </c>
      <c r="Q49">
        <v>6022</v>
      </c>
      <c r="R49">
        <v>3.7449572089999998</v>
      </c>
      <c r="S49">
        <v>-112.23027039999999</v>
      </c>
      <c r="T49">
        <v>399986.09379999997</v>
      </c>
      <c r="V49">
        <v>-9.1199999999999994E-5</v>
      </c>
      <c r="W49">
        <v>1.0579820000000001E-3</v>
      </c>
      <c r="X49">
        <v>2.9567599999999998E-4</v>
      </c>
      <c r="Y49">
        <v>2.869964E-3</v>
      </c>
      <c r="Z49">
        <v>7.8204999999999995E-4</v>
      </c>
      <c r="AA49">
        <v>-3.8057569999999999E-3</v>
      </c>
      <c r="AC49">
        <v>0</v>
      </c>
      <c r="AD49">
        <f t="shared" si="0"/>
        <v>0</v>
      </c>
      <c r="AE49">
        <f t="shared" si="1"/>
        <v>0</v>
      </c>
      <c r="AF49">
        <f t="shared" si="2"/>
        <v>0</v>
      </c>
      <c r="AG49">
        <v>0</v>
      </c>
      <c r="AH49">
        <v>0</v>
      </c>
      <c r="AI49">
        <v>0</v>
      </c>
    </row>
    <row r="50" spans="1:35" x14ac:dyDescent="0.25">
      <c r="A50">
        <f>novatel_oem615[[#This Row],[GPS_WEEKS]]*604800+novatel_oem615[[#This Row],[GPS_SECONDS]]+novatel_oem615[[#This Row],[GPS_FRAC_SECS]]</f>
        <v>206387094.67199999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-2557000</v>
      </c>
      <c r="M50">
        <v>-6262000</v>
      </c>
      <c r="N50">
        <v>442900</v>
      </c>
      <c r="O50">
        <v>4074</v>
      </c>
      <c r="P50">
        <v>-1233</v>
      </c>
      <c r="Q50">
        <v>6022</v>
      </c>
      <c r="R50">
        <v>3.7449572089999998</v>
      </c>
      <c r="S50">
        <v>-112.23027039999999</v>
      </c>
      <c r="T50">
        <v>399986.09379999997</v>
      </c>
      <c r="V50">
        <v>-3.6300000000000001E-5</v>
      </c>
      <c r="W50">
        <v>5.8114500000000003E-4</v>
      </c>
      <c r="X50">
        <v>2.1222999999999999E-4</v>
      </c>
      <c r="Y50">
        <v>3.1083819999999998E-3</v>
      </c>
      <c r="Z50">
        <v>9.5490400000000002E-4</v>
      </c>
      <c r="AA50">
        <v>-3.2812359999999999E-3</v>
      </c>
      <c r="AC50">
        <v>0</v>
      </c>
      <c r="AD50">
        <f t="shared" si="0"/>
        <v>0</v>
      </c>
      <c r="AE50">
        <f t="shared" si="1"/>
        <v>0</v>
      </c>
      <c r="AF50">
        <f t="shared" si="2"/>
        <v>0</v>
      </c>
      <c r="AG50">
        <v>0</v>
      </c>
      <c r="AH50">
        <v>0</v>
      </c>
      <c r="AI50">
        <v>0</v>
      </c>
    </row>
    <row r="51" spans="1:35" x14ac:dyDescent="0.25">
      <c r="A51">
        <f>novatel_oem615[[#This Row],[GPS_WEEKS]]*604800+novatel_oem615[[#This Row],[GPS_SECONDS]]+novatel_oem615[[#This Row],[GPS_FRAC_SECS]]</f>
        <v>206387094.92199999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-2556000</v>
      </c>
      <c r="M51">
        <v>-6262000</v>
      </c>
      <c r="N51">
        <v>444400</v>
      </c>
      <c r="O51">
        <v>4075</v>
      </c>
      <c r="P51">
        <v>-1232</v>
      </c>
      <c r="Q51">
        <v>6022</v>
      </c>
      <c r="R51">
        <v>3.7449572089999998</v>
      </c>
      <c r="S51">
        <v>-112.23027039999999</v>
      </c>
      <c r="T51">
        <v>399986.09379999997</v>
      </c>
      <c r="V51">
        <v>6.0800000000000001E-5</v>
      </c>
      <c r="W51">
        <v>-1.946092E-3</v>
      </c>
      <c r="X51">
        <v>-2.62E-5</v>
      </c>
      <c r="Y51">
        <v>3.3468009999999999E-3</v>
      </c>
      <c r="Z51">
        <v>1.0610000000000001E-3</v>
      </c>
      <c r="AA51">
        <v>-3.3527610000000001E-3</v>
      </c>
      <c r="AC51">
        <v>0</v>
      </c>
      <c r="AD51">
        <f t="shared" si="0"/>
        <v>0</v>
      </c>
      <c r="AE51">
        <f t="shared" si="1"/>
        <v>0</v>
      </c>
      <c r="AF51">
        <f t="shared" si="2"/>
        <v>0</v>
      </c>
      <c r="AG51">
        <v>0</v>
      </c>
      <c r="AH51">
        <v>0</v>
      </c>
      <c r="AI51">
        <v>0</v>
      </c>
    </row>
    <row r="52" spans="1:35" x14ac:dyDescent="0.25">
      <c r="A52">
        <f>novatel_oem615[[#This Row],[GPS_WEEKS]]*604800+novatel_oem615[[#This Row],[GPS_SECONDS]]+novatel_oem615[[#This Row],[GPS_FRAC_SECS]]</f>
        <v>206387095.17199999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>
        <v>-2555000</v>
      </c>
      <c r="M52">
        <v>-6262000</v>
      </c>
      <c r="N52">
        <v>445900</v>
      </c>
      <c r="O52">
        <v>4076</v>
      </c>
      <c r="P52">
        <v>-1230</v>
      </c>
      <c r="Q52">
        <v>6021</v>
      </c>
      <c r="R52">
        <v>3.7449572089999998</v>
      </c>
      <c r="S52">
        <v>-112.23027039999999</v>
      </c>
      <c r="T52">
        <v>399986.09379999997</v>
      </c>
      <c r="V52">
        <v>1.2300000000000001E-6</v>
      </c>
      <c r="W52">
        <v>-2.29478E-4</v>
      </c>
      <c r="X52">
        <v>1.39512E-4</v>
      </c>
      <c r="Y52">
        <v>3.394485E-3</v>
      </c>
      <c r="Z52">
        <v>1.0705370000000001E-3</v>
      </c>
      <c r="AA52">
        <v>-3.4481289999999999E-3</v>
      </c>
      <c r="AC52">
        <v>0</v>
      </c>
      <c r="AD52">
        <f t="shared" si="0"/>
        <v>0</v>
      </c>
      <c r="AE52">
        <f t="shared" si="1"/>
        <v>0</v>
      </c>
      <c r="AF52">
        <f t="shared" si="2"/>
        <v>0</v>
      </c>
      <c r="AG52">
        <v>0</v>
      </c>
      <c r="AH52">
        <v>0</v>
      </c>
      <c r="AI52">
        <v>0</v>
      </c>
    </row>
    <row r="53" spans="1:35" x14ac:dyDescent="0.25">
      <c r="A53">
        <f>novatel_oem615[[#This Row],[GPS_WEEKS]]*604800+novatel_oem615[[#This Row],[GPS_SECONDS]]+novatel_oem615[[#This Row],[GPS_FRAC_SECS]]</f>
        <v>206387095.42199999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>
        <v>-2554000</v>
      </c>
      <c r="M53">
        <v>-6263000</v>
      </c>
      <c r="N53">
        <v>447500</v>
      </c>
      <c r="O53">
        <v>4077</v>
      </c>
      <c r="P53">
        <v>-1228</v>
      </c>
      <c r="Q53">
        <v>6021</v>
      </c>
      <c r="R53">
        <v>3.7449572089999998</v>
      </c>
      <c r="S53">
        <v>-112.23027039999999</v>
      </c>
      <c r="T53">
        <v>399986.09379999997</v>
      </c>
      <c r="V53">
        <v>-5.5899999999999996E-7</v>
      </c>
      <c r="W53">
        <v>-3.4868699999999998E-4</v>
      </c>
      <c r="X53">
        <v>1.33552E-4</v>
      </c>
      <c r="Y53">
        <v>3.3468009999999999E-3</v>
      </c>
      <c r="Z53">
        <v>1.037158E-3</v>
      </c>
      <c r="AA53">
        <v>-3.5434960000000001E-3</v>
      </c>
      <c r="AC53">
        <v>0</v>
      </c>
      <c r="AD53">
        <f t="shared" si="0"/>
        <v>0</v>
      </c>
      <c r="AE53">
        <f t="shared" si="1"/>
        <v>0</v>
      </c>
      <c r="AF53">
        <f t="shared" si="2"/>
        <v>0</v>
      </c>
      <c r="AG53">
        <v>0</v>
      </c>
      <c r="AH53">
        <v>0</v>
      </c>
      <c r="AI53">
        <v>0</v>
      </c>
    </row>
    <row r="54" spans="1:35" x14ac:dyDescent="0.25">
      <c r="A54">
        <f>novatel_oem615[[#This Row],[GPS_WEEKS]]*604800+novatel_oem615[[#This Row],[GPS_SECONDS]]+novatel_oem615[[#This Row],[GPS_FRAC_SECS]]</f>
        <v>206387095.67199999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>
        <v>-2553000</v>
      </c>
      <c r="M54">
        <v>-6263000</v>
      </c>
      <c r="N54">
        <v>449000</v>
      </c>
      <c r="O54">
        <v>4078</v>
      </c>
      <c r="P54">
        <v>-1226</v>
      </c>
      <c r="Q54">
        <v>6021</v>
      </c>
      <c r="R54">
        <v>3.7449572089999998</v>
      </c>
      <c r="S54">
        <v>-112.23027039999999</v>
      </c>
      <c r="T54">
        <v>399986.09379999997</v>
      </c>
      <c r="V54">
        <v>-2.5000000000000001E-5</v>
      </c>
      <c r="W54">
        <v>1.04308E-4</v>
      </c>
      <c r="X54">
        <v>1.8481199999999999E-4</v>
      </c>
      <c r="Y54">
        <v>3.2514330000000002E-3</v>
      </c>
      <c r="Z54">
        <v>9.93051E-4</v>
      </c>
      <c r="AA54">
        <v>-3.6388639999999999E-3</v>
      </c>
      <c r="AC54">
        <v>0</v>
      </c>
      <c r="AD54">
        <f t="shared" si="0"/>
        <v>0</v>
      </c>
      <c r="AE54">
        <f t="shared" si="1"/>
        <v>0</v>
      </c>
      <c r="AF54">
        <f t="shared" si="2"/>
        <v>0</v>
      </c>
      <c r="AG54">
        <v>0</v>
      </c>
      <c r="AH54">
        <v>0</v>
      </c>
      <c r="AI54">
        <v>0</v>
      </c>
    </row>
    <row r="55" spans="1:35" x14ac:dyDescent="0.25">
      <c r="A55">
        <f>novatel_oem615[[#This Row],[GPS_WEEKS]]*604800+novatel_oem615[[#This Row],[GPS_SECONDS]]+novatel_oem615[[#This Row],[GPS_FRAC_SECS]]</f>
        <v>206387095.92199999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>
        <v>-2552000</v>
      </c>
      <c r="M55">
        <v>-6263000</v>
      </c>
      <c r="N55">
        <v>450500</v>
      </c>
      <c r="O55">
        <v>4078</v>
      </c>
      <c r="P55">
        <v>-1224</v>
      </c>
      <c r="Q55">
        <v>6021</v>
      </c>
      <c r="R55">
        <v>3.7449572089999998</v>
      </c>
      <c r="S55">
        <v>-112.23027039999999</v>
      </c>
      <c r="T55">
        <v>399986.09379999997</v>
      </c>
      <c r="V55">
        <v>-1.9599999999999999E-5</v>
      </c>
      <c r="W55">
        <v>5.8114500000000003E-4</v>
      </c>
      <c r="X55">
        <v>1.9553999999999999E-4</v>
      </c>
      <c r="Y55">
        <v>3.1560659999999999E-3</v>
      </c>
      <c r="Z55">
        <v>1.0192770000000001E-3</v>
      </c>
      <c r="AA55">
        <v>-2.9951330000000001E-3</v>
      </c>
      <c r="AC55">
        <v>0</v>
      </c>
      <c r="AD55">
        <f t="shared" si="0"/>
        <v>0</v>
      </c>
      <c r="AE55">
        <f t="shared" si="1"/>
        <v>0</v>
      </c>
      <c r="AF55">
        <f t="shared" si="2"/>
        <v>0</v>
      </c>
      <c r="AG55">
        <v>0</v>
      </c>
      <c r="AH55">
        <v>0</v>
      </c>
      <c r="AI55">
        <v>0</v>
      </c>
    </row>
    <row r="56" spans="1:35" x14ac:dyDescent="0.25">
      <c r="A56">
        <f>novatel_oem615[[#This Row],[GPS_WEEKS]]*604800+novatel_oem615[[#This Row],[GPS_SECONDS]]+novatel_oem615[[#This Row],[GPS_FRAC_SECS]]</f>
        <v>206387096.17199999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-2551000</v>
      </c>
      <c r="M56">
        <v>-6263000</v>
      </c>
      <c r="N56">
        <v>451900</v>
      </c>
      <c r="O56">
        <v>4079</v>
      </c>
      <c r="P56">
        <v>-1222</v>
      </c>
      <c r="Q56">
        <v>6021</v>
      </c>
      <c r="R56">
        <v>3.7449572089999998</v>
      </c>
      <c r="S56">
        <v>-112.23027039999999</v>
      </c>
      <c r="T56">
        <v>399986.09379999997</v>
      </c>
      <c r="V56">
        <v>-2.26E-5</v>
      </c>
      <c r="W56">
        <v>1.1056659999999999E-3</v>
      </c>
      <c r="X56">
        <v>2.13422E-4</v>
      </c>
      <c r="Y56">
        <v>3.013015E-3</v>
      </c>
      <c r="Z56">
        <v>1.0311980000000001E-3</v>
      </c>
      <c r="AA56">
        <v>-2.470613E-3</v>
      </c>
      <c r="AC56">
        <v>0</v>
      </c>
      <c r="AD56">
        <f t="shared" si="0"/>
        <v>0</v>
      </c>
      <c r="AE56">
        <f t="shared" si="1"/>
        <v>0</v>
      </c>
      <c r="AF56">
        <f t="shared" si="2"/>
        <v>0</v>
      </c>
      <c r="AG56">
        <v>0</v>
      </c>
      <c r="AH56">
        <v>0</v>
      </c>
      <c r="AI56">
        <v>0</v>
      </c>
    </row>
    <row r="57" spans="1:35" x14ac:dyDescent="0.25">
      <c r="A57">
        <f>novatel_oem615[[#This Row],[GPS_WEEKS]]*604800+novatel_oem615[[#This Row],[GPS_SECONDS]]+novatel_oem615[[#This Row],[GPS_FRAC_SECS]]</f>
        <v>206387096.42199999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-2550000</v>
      </c>
      <c r="M57">
        <v>-6264000</v>
      </c>
      <c r="N57">
        <v>453400</v>
      </c>
      <c r="O57">
        <v>4080</v>
      </c>
      <c r="P57">
        <v>-1221</v>
      </c>
      <c r="Q57">
        <v>6021</v>
      </c>
      <c r="R57">
        <v>3.7449572089999998</v>
      </c>
      <c r="S57">
        <v>-112.23027039999999</v>
      </c>
      <c r="T57">
        <v>399986.09379999997</v>
      </c>
      <c r="V57">
        <v>1.08E-5</v>
      </c>
      <c r="W57">
        <v>6.7651300000000001E-4</v>
      </c>
      <c r="X57">
        <v>1.5262500000000001E-4</v>
      </c>
      <c r="Y57">
        <v>2.9653309999999999E-3</v>
      </c>
      <c r="Z57">
        <v>1.044311E-3</v>
      </c>
      <c r="AA57">
        <v>-2.0891429999999999E-3</v>
      </c>
      <c r="AC57">
        <v>0</v>
      </c>
      <c r="AD57">
        <f t="shared" si="0"/>
        <v>0</v>
      </c>
      <c r="AE57">
        <f t="shared" si="1"/>
        <v>0</v>
      </c>
      <c r="AF57">
        <f t="shared" si="2"/>
        <v>0</v>
      </c>
      <c r="AG57">
        <v>0</v>
      </c>
      <c r="AH57">
        <v>0</v>
      </c>
      <c r="AI57">
        <v>0</v>
      </c>
    </row>
    <row r="58" spans="1:35" x14ac:dyDescent="0.25">
      <c r="A58">
        <f>novatel_oem615[[#This Row],[GPS_WEEKS]]*604800+novatel_oem615[[#This Row],[GPS_SECONDS]]+novatel_oem615[[#This Row],[GPS_FRAC_SECS]]</f>
        <v>206387096.67199999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>
        <v>-2549000</v>
      </c>
      <c r="M58">
        <v>-6264000</v>
      </c>
      <c r="N58">
        <v>454900</v>
      </c>
      <c r="O58">
        <v>4081</v>
      </c>
      <c r="P58">
        <v>-1219</v>
      </c>
      <c r="Q58">
        <v>6021</v>
      </c>
      <c r="R58">
        <v>3.7449572089999998</v>
      </c>
      <c r="S58">
        <v>-112.23027039999999</v>
      </c>
      <c r="T58">
        <v>399986.09379999997</v>
      </c>
      <c r="V58">
        <v>8.5900000000000001E-5</v>
      </c>
      <c r="W58">
        <v>-1.2308359999999999E-3</v>
      </c>
      <c r="X58">
        <v>-2.3200000000000001E-5</v>
      </c>
      <c r="Y58">
        <v>2.9653309999999999E-3</v>
      </c>
      <c r="Z58">
        <v>1.047887E-3</v>
      </c>
      <c r="AA58">
        <v>-2.136827E-3</v>
      </c>
      <c r="AC58">
        <v>0</v>
      </c>
      <c r="AD58">
        <f t="shared" si="0"/>
        <v>0</v>
      </c>
      <c r="AE58">
        <f t="shared" si="1"/>
        <v>0</v>
      </c>
      <c r="AF58">
        <f t="shared" si="2"/>
        <v>0</v>
      </c>
      <c r="AG58">
        <v>0</v>
      </c>
      <c r="AH58">
        <v>0</v>
      </c>
      <c r="AI58">
        <v>0</v>
      </c>
    </row>
    <row r="59" spans="1:35" x14ac:dyDescent="0.25">
      <c r="A59">
        <f>novatel_oem615[[#This Row],[GPS_WEEKS]]*604800+novatel_oem615[[#This Row],[GPS_SECONDS]]+novatel_oem615[[#This Row],[GPS_FRAC_SECS]]</f>
        <v>206387096.92199999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>
        <v>-2548000</v>
      </c>
      <c r="M59">
        <v>-6264000</v>
      </c>
      <c r="N59">
        <v>456400</v>
      </c>
      <c r="O59">
        <v>4081</v>
      </c>
      <c r="P59">
        <v>-1217</v>
      </c>
      <c r="Q59">
        <v>6021</v>
      </c>
      <c r="R59">
        <v>3.7449572089999998</v>
      </c>
      <c r="S59">
        <v>-112.23027039999999</v>
      </c>
      <c r="T59">
        <v>399986.09379999997</v>
      </c>
      <c r="V59">
        <v>3.9400000000000002E-5</v>
      </c>
      <c r="W59">
        <v>-1.3411E-4</v>
      </c>
      <c r="X59">
        <v>8.2299999999999995E-5</v>
      </c>
      <c r="Y59">
        <v>2.9176470000000002E-3</v>
      </c>
      <c r="Z59">
        <v>1.020469E-3</v>
      </c>
      <c r="AA59">
        <v>-2.2321939999999998E-3</v>
      </c>
      <c r="AC59">
        <v>0</v>
      </c>
      <c r="AD59">
        <f t="shared" si="0"/>
        <v>0</v>
      </c>
      <c r="AE59">
        <f t="shared" si="1"/>
        <v>0</v>
      </c>
      <c r="AF59">
        <f t="shared" si="2"/>
        <v>0</v>
      </c>
      <c r="AG59">
        <v>0</v>
      </c>
      <c r="AH59">
        <v>0</v>
      </c>
      <c r="AI59">
        <v>0</v>
      </c>
    </row>
    <row r="60" spans="1:35" x14ac:dyDescent="0.25">
      <c r="A60">
        <f>novatel_oem615[[#This Row],[GPS_WEEKS]]*604800+novatel_oem615[[#This Row],[GPS_SECONDS]]+novatel_oem615[[#This Row],[GPS_FRAC_SECS]]</f>
        <v>206387097.17199999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>
        <v>-2547000</v>
      </c>
      <c r="M60">
        <v>-6265000</v>
      </c>
      <c r="N60">
        <v>457900</v>
      </c>
      <c r="O60">
        <v>4082</v>
      </c>
      <c r="P60">
        <v>-1215</v>
      </c>
      <c r="Q60">
        <v>6020</v>
      </c>
      <c r="R60">
        <v>3.7449572089999998</v>
      </c>
      <c r="S60">
        <v>-112.23027039999999</v>
      </c>
      <c r="T60">
        <v>399986.09379999997</v>
      </c>
      <c r="V60">
        <v>6.6799999999999997E-5</v>
      </c>
      <c r="W60">
        <v>-2.5332000000000002E-4</v>
      </c>
      <c r="X60">
        <v>4.18E-5</v>
      </c>
      <c r="Y60">
        <v>2.869964E-3</v>
      </c>
      <c r="Z60">
        <v>1.064576E-3</v>
      </c>
      <c r="AA60">
        <v>-1.683831E-3</v>
      </c>
      <c r="AC60">
        <v>0</v>
      </c>
      <c r="AD60">
        <f t="shared" si="0"/>
        <v>0</v>
      </c>
      <c r="AE60">
        <f t="shared" si="1"/>
        <v>0</v>
      </c>
      <c r="AF60">
        <f t="shared" si="2"/>
        <v>0</v>
      </c>
      <c r="AG60">
        <v>0</v>
      </c>
      <c r="AH60">
        <v>0</v>
      </c>
      <c r="AI60">
        <v>0</v>
      </c>
    </row>
    <row r="61" spans="1:35" x14ac:dyDescent="0.25">
      <c r="A61">
        <f>novatel_oem615[[#This Row],[GPS_WEEKS]]*604800+novatel_oem615[[#This Row],[GPS_SECONDS]]+novatel_oem615[[#This Row],[GPS_FRAC_SECS]]</f>
        <v>206387097.42199999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>
        <v>-2546000</v>
      </c>
      <c r="M61">
        <v>-6265000</v>
      </c>
      <c r="N61">
        <v>459400</v>
      </c>
      <c r="O61">
        <v>4083</v>
      </c>
      <c r="P61">
        <v>-1213</v>
      </c>
      <c r="Q61">
        <v>6020</v>
      </c>
      <c r="R61">
        <v>3.7449572089999998</v>
      </c>
      <c r="S61">
        <v>-112.23027039999999</v>
      </c>
      <c r="T61">
        <v>399986.09379999997</v>
      </c>
      <c r="V61">
        <v>6.0800000000000001E-5</v>
      </c>
      <c r="W61">
        <v>2.47359E-4</v>
      </c>
      <c r="X61">
        <v>6.5599999999999995E-5</v>
      </c>
      <c r="Y61">
        <v>2.869964E-3</v>
      </c>
      <c r="Z61">
        <v>1.08961E-3</v>
      </c>
      <c r="AA61">
        <v>-1.27852E-3</v>
      </c>
      <c r="AC61">
        <v>0</v>
      </c>
      <c r="AD61">
        <f t="shared" si="0"/>
        <v>0</v>
      </c>
      <c r="AE61">
        <f t="shared" si="1"/>
        <v>0</v>
      </c>
      <c r="AF61">
        <f t="shared" si="2"/>
        <v>0</v>
      </c>
      <c r="AG61">
        <v>0</v>
      </c>
      <c r="AH61">
        <v>0</v>
      </c>
      <c r="AI61">
        <v>0</v>
      </c>
    </row>
    <row r="62" spans="1:35" x14ac:dyDescent="0.25">
      <c r="A62">
        <f>novatel_oem615[[#This Row],[GPS_WEEKS]]*604800+novatel_oem615[[#This Row],[GPS_SECONDS]]+novatel_oem615[[#This Row],[GPS_FRAC_SECS]]</f>
        <v>206387097.67199999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>
        <v>-2545000</v>
      </c>
      <c r="M62">
        <v>-6265000</v>
      </c>
      <c r="N62">
        <v>460900</v>
      </c>
      <c r="O62">
        <v>4084</v>
      </c>
      <c r="P62">
        <v>-1211</v>
      </c>
      <c r="Q62">
        <v>6020</v>
      </c>
      <c r="R62">
        <v>3.7449572089999998</v>
      </c>
      <c r="S62">
        <v>-112.23027039999999</v>
      </c>
      <c r="T62">
        <v>399986.09379999997</v>
      </c>
      <c r="V62">
        <v>4.7700000000000001E-5</v>
      </c>
      <c r="W62">
        <v>7.7187999999999996E-4</v>
      </c>
      <c r="X62">
        <v>9.7800000000000006E-5</v>
      </c>
      <c r="Y62">
        <v>2.8222799999999999E-3</v>
      </c>
      <c r="Z62">
        <v>1.0979550000000001E-3</v>
      </c>
      <c r="AA62">
        <v>-9.92417E-4</v>
      </c>
      <c r="AC62">
        <v>0</v>
      </c>
      <c r="AD62">
        <f t="shared" si="0"/>
        <v>0</v>
      </c>
      <c r="AE62">
        <f t="shared" si="1"/>
        <v>0</v>
      </c>
      <c r="AF62">
        <f t="shared" si="2"/>
        <v>0</v>
      </c>
      <c r="AG62">
        <v>0</v>
      </c>
      <c r="AH62">
        <v>0</v>
      </c>
      <c r="AI62">
        <v>0</v>
      </c>
    </row>
    <row r="63" spans="1:35" x14ac:dyDescent="0.25">
      <c r="A63">
        <f>novatel_oem615[[#This Row],[GPS_WEEKS]]*604800+novatel_oem615[[#This Row],[GPS_SECONDS]]+novatel_oem615[[#This Row],[GPS_FRAC_SECS]]</f>
        <v>206387097.92199999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>
        <v>-2544000</v>
      </c>
      <c r="M63">
        <v>-6266000</v>
      </c>
      <c r="N63">
        <v>462400</v>
      </c>
      <c r="O63">
        <v>4084</v>
      </c>
      <c r="P63">
        <v>-1209</v>
      </c>
      <c r="Q63">
        <v>6020</v>
      </c>
      <c r="R63">
        <v>3.7449572089999998</v>
      </c>
      <c r="S63">
        <v>-112.23027039999999</v>
      </c>
      <c r="T63">
        <v>399986.09379999997</v>
      </c>
      <c r="V63">
        <v>5.6100000000000002E-5</v>
      </c>
      <c r="W63">
        <v>4.8577800000000002E-4</v>
      </c>
      <c r="X63">
        <v>7.75E-5</v>
      </c>
      <c r="Y63">
        <v>2.7745959999999998E-3</v>
      </c>
      <c r="Z63">
        <v>1.0776889999999999E-3</v>
      </c>
      <c r="AA63">
        <v>-1.0639429999999999E-3</v>
      </c>
      <c r="AC63">
        <v>0</v>
      </c>
      <c r="AD63">
        <f t="shared" si="0"/>
        <v>0</v>
      </c>
      <c r="AE63">
        <f t="shared" si="1"/>
        <v>0</v>
      </c>
      <c r="AF63">
        <f t="shared" si="2"/>
        <v>0</v>
      </c>
      <c r="AG63">
        <v>0</v>
      </c>
      <c r="AH63">
        <v>0</v>
      </c>
      <c r="AI63">
        <v>0</v>
      </c>
    </row>
    <row r="64" spans="1:35" x14ac:dyDescent="0.25">
      <c r="A64">
        <f>novatel_oem615[[#This Row],[GPS_WEEKS]]*604800+novatel_oem615[[#This Row],[GPS_SECONDS]]+novatel_oem615[[#This Row],[GPS_FRAC_SECS]]</f>
        <v>206387098.17199999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>
        <v>-2543000</v>
      </c>
      <c r="M64">
        <v>-6266000</v>
      </c>
      <c r="N64">
        <v>463900</v>
      </c>
      <c r="O64">
        <v>4085</v>
      </c>
      <c r="P64">
        <v>-1208</v>
      </c>
      <c r="Q64">
        <v>6020</v>
      </c>
      <c r="R64">
        <v>3.7449572089999998</v>
      </c>
      <c r="S64">
        <v>-112.23027039999999</v>
      </c>
      <c r="T64">
        <v>399986.09379999997</v>
      </c>
      <c r="V64">
        <v>5.9599999999999999E-5</v>
      </c>
      <c r="W64">
        <v>1.99676E-4</v>
      </c>
      <c r="X64">
        <v>5.6100000000000002E-5</v>
      </c>
      <c r="Y64">
        <v>2.5838609999999998E-3</v>
      </c>
      <c r="Z64">
        <v>9.93051E-4</v>
      </c>
      <c r="AA64">
        <v>-1.1354679999999999E-3</v>
      </c>
      <c r="AC64">
        <v>0</v>
      </c>
      <c r="AD64">
        <f t="shared" si="0"/>
        <v>0</v>
      </c>
      <c r="AE64">
        <f t="shared" si="1"/>
        <v>0</v>
      </c>
      <c r="AF64">
        <f t="shared" si="2"/>
        <v>0</v>
      </c>
      <c r="AG64">
        <v>0</v>
      </c>
      <c r="AH64">
        <v>0</v>
      </c>
      <c r="AI64">
        <v>0</v>
      </c>
    </row>
    <row r="65" spans="1:35" x14ac:dyDescent="0.25">
      <c r="A65">
        <f>novatel_oem615[[#This Row],[GPS_WEEKS]]*604800+novatel_oem615[[#This Row],[GPS_SECONDS]]+novatel_oem615[[#This Row],[GPS_FRAC_SECS]]</f>
        <v>206387098.42199999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-2542000</v>
      </c>
      <c r="M65">
        <v>-6266000</v>
      </c>
      <c r="N65">
        <v>465400</v>
      </c>
      <c r="O65">
        <v>4086</v>
      </c>
      <c r="P65">
        <v>-1206</v>
      </c>
      <c r="Q65">
        <v>6020</v>
      </c>
      <c r="R65">
        <v>3.7449572089999998</v>
      </c>
      <c r="S65">
        <v>-112.23027039999999</v>
      </c>
      <c r="T65">
        <v>399986.09379999997</v>
      </c>
      <c r="V65">
        <v>3.82E-5</v>
      </c>
      <c r="W65">
        <v>6.7651300000000001E-4</v>
      </c>
      <c r="X65">
        <v>1.03749E-4</v>
      </c>
      <c r="Y65">
        <v>2.6315449999999999E-3</v>
      </c>
      <c r="Z65">
        <v>1.0192770000000001E-3</v>
      </c>
      <c r="AA65">
        <v>-1.2069940000000001E-3</v>
      </c>
      <c r="AC65">
        <v>0</v>
      </c>
      <c r="AD65">
        <f t="shared" si="0"/>
        <v>0</v>
      </c>
      <c r="AE65">
        <f t="shared" si="1"/>
        <v>0</v>
      </c>
      <c r="AF65">
        <f t="shared" si="2"/>
        <v>0</v>
      </c>
      <c r="AG65">
        <v>0</v>
      </c>
      <c r="AH65">
        <v>0</v>
      </c>
      <c r="AI65">
        <v>0</v>
      </c>
    </row>
    <row r="66" spans="1:35" x14ac:dyDescent="0.25">
      <c r="A66">
        <f>novatel_oem615[[#This Row],[GPS_WEEKS]]*604800+novatel_oem615[[#This Row],[GPS_SECONDS]]+novatel_oem615[[#This Row],[GPS_FRAC_SECS]]</f>
        <v>206387098.67199999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-2541000</v>
      </c>
      <c r="M66">
        <v>-6266000</v>
      </c>
      <c r="N66">
        <v>466900</v>
      </c>
      <c r="O66">
        <v>4087</v>
      </c>
      <c r="P66">
        <v>-1204</v>
      </c>
      <c r="Q66">
        <v>6019</v>
      </c>
      <c r="R66">
        <v>3.7449572089999998</v>
      </c>
      <c r="S66">
        <v>-112.23027039999999</v>
      </c>
      <c r="T66">
        <v>399986.09379999997</v>
      </c>
      <c r="V66">
        <v>2.9799999999999999E-5</v>
      </c>
      <c r="W66">
        <v>1.15335E-3</v>
      </c>
      <c r="X66">
        <v>1.2520700000000001E-4</v>
      </c>
      <c r="Y66">
        <v>2.5838609999999998E-3</v>
      </c>
      <c r="Z66">
        <v>1.0335819999999999E-3</v>
      </c>
      <c r="AA66">
        <v>-8.0168199999999996E-4</v>
      </c>
      <c r="AC66">
        <v>0</v>
      </c>
      <c r="AD66">
        <f t="shared" si="0"/>
        <v>0</v>
      </c>
      <c r="AE66">
        <f t="shared" si="1"/>
        <v>0</v>
      </c>
      <c r="AF66">
        <f t="shared" si="2"/>
        <v>0</v>
      </c>
      <c r="AG66">
        <v>0</v>
      </c>
      <c r="AH66">
        <v>0</v>
      </c>
      <c r="AI66">
        <v>0</v>
      </c>
    </row>
    <row r="67" spans="1:35" x14ac:dyDescent="0.25">
      <c r="A67">
        <f>novatel_oem615[[#This Row],[GPS_WEEKS]]*604800+novatel_oem615[[#This Row],[GPS_SECONDS]]+novatel_oem615[[#This Row],[GPS_FRAC_SECS]]</f>
        <v>206387098.92199999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>
        <v>-2540000</v>
      </c>
      <c r="M67">
        <v>-6267000</v>
      </c>
      <c r="N67">
        <v>468400</v>
      </c>
      <c r="O67">
        <v>4088</v>
      </c>
      <c r="P67">
        <v>-1202</v>
      </c>
      <c r="Q67">
        <v>6019</v>
      </c>
      <c r="R67">
        <v>3.7449572089999998</v>
      </c>
      <c r="S67">
        <v>-112.23027039999999</v>
      </c>
      <c r="T67">
        <v>399986.09379999997</v>
      </c>
      <c r="V67">
        <v>5.13E-5</v>
      </c>
      <c r="W67">
        <v>7.7187999999999996E-4</v>
      </c>
      <c r="X67">
        <v>7.5099999999999996E-5</v>
      </c>
      <c r="Y67">
        <v>2.3931260000000002E-3</v>
      </c>
      <c r="Z67">
        <v>9.7516900000000001E-4</v>
      </c>
      <c r="AA67">
        <v>-5.1557999999999997E-4</v>
      </c>
      <c r="AC67">
        <v>0</v>
      </c>
      <c r="AD67">
        <f t="shared" ref="AD67:AD130" si="3">2*C67</f>
        <v>0</v>
      </c>
      <c r="AE67">
        <f t="shared" ref="AE67:AE130" si="4">3*D67</f>
        <v>0</v>
      </c>
      <c r="AF67">
        <f t="shared" ref="AF67:AF130" si="5">4*E67</f>
        <v>0</v>
      </c>
      <c r="AG67">
        <v>0</v>
      </c>
      <c r="AH67">
        <v>0</v>
      </c>
      <c r="AI67">
        <v>0</v>
      </c>
    </row>
    <row r="68" spans="1:35" x14ac:dyDescent="0.25">
      <c r="A68">
        <f>novatel_oem615[[#This Row],[GPS_WEEKS]]*604800+novatel_oem615[[#This Row],[GPS_SECONDS]]+novatel_oem615[[#This Row],[GPS_FRAC_SECS]]</f>
        <v>206387099.17199999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>
        <v>-2539000</v>
      </c>
      <c r="M68">
        <v>-6267000</v>
      </c>
      <c r="N68">
        <v>469900</v>
      </c>
      <c r="O68">
        <v>4088</v>
      </c>
      <c r="P68">
        <v>-1200</v>
      </c>
      <c r="Q68">
        <v>6019</v>
      </c>
      <c r="R68">
        <v>3.7449572089999998</v>
      </c>
      <c r="S68">
        <v>-112.23027039999999</v>
      </c>
      <c r="T68">
        <v>399986.09379999997</v>
      </c>
      <c r="V68">
        <v>2.51E-5</v>
      </c>
      <c r="W68">
        <v>1.2487170000000001E-3</v>
      </c>
      <c r="X68">
        <v>1.21631E-4</v>
      </c>
      <c r="Y68">
        <v>2.2977589999999999E-3</v>
      </c>
      <c r="Z68">
        <v>9.4417500000000001E-4</v>
      </c>
      <c r="AA68">
        <v>-5.87106E-4</v>
      </c>
      <c r="AC68">
        <v>0</v>
      </c>
      <c r="AD68">
        <f t="shared" si="3"/>
        <v>0</v>
      </c>
      <c r="AE68">
        <f t="shared" si="4"/>
        <v>0</v>
      </c>
      <c r="AF68">
        <f t="shared" si="5"/>
        <v>0</v>
      </c>
      <c r="AG68">
        <v>0</v>
      </c>
      <c r="AH68">
        <v>0</v>
      </c>
      <c r="AI68">
        <v>0</v>
      </c>
    </row>
    <row r="69" spans="1:35" x14ac:dyDescent="0.25">
      <c r="A69">
        <f>novatel_oem615[[#This Row],[GPS_WEEKS]]*604800+novatel_oem615[[#This Row],[GPS_SECONDS]]+novatel_oem615[[#This Row],[GPS_FRAC_SECS]]</f>
        <v>206387099.42199999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>
        <v>-2538000</v>
      </c>
      <c r="M69">
        <v>-6267000</v>
      </c>
      <c r="N69">
        <v>471400</v>
      </c>
      <c r="O69">
        <v>4089</v>
      </c>
      <c r="P69">
        <v>-1198</v>
      </c>
      <c r="Q69">
        <v>6019</v>
      </c>
      <c r="R69">
        <v>3.7449572089999998</v>
      </c>
      <c r="S69">
        <v>-112.23027039999999</v>
      </c>
      <c r="T69">
        <v>399986.09379999997</v>
      </c>
      <c r="V69">
        <v>1.2300000000000001E-6</v>
      </c>
      <c r="W69">
        <v>1.677871E-3</v>
      </c>
      <c r="X69">
        <v>1.6812199999999999E-4</v>
      </c>
      <c r="Y69">
        <v>2.345443E-3</v>
      </c>
      <c r="Z69">
        <v>9.5728800000000004E-4</v>
      </c>
      <c r="AA69">
        <v>-6.5863100000000002E-4</v>
      </c>
      <c r="AC69">
        <v>1</v>
      </c>
      <c r="AD69">
        <f t="shared" si="3"/>
        <v>0</v>
      </c>
      <c r="AE69">
        <f t="shared" si="4"/>
        <v>3</v>
      </c>
      <c r="AF69">
        <f t="shared" si="5"/>
        <v>0</v>
      </c>
      <c r="AG69">
        <v>0</v>
      </c>
      <c r="AH69">
        <v>0</v>
      </c>
      <c r="AI69">
        <v>0</v>
      </c>
    </row>
    <row r="70" spans="1:35" x14ac:dyDescent="0.25">
      <c r="A70">
        <f>novatel_oem615[[#This Row],[GPS_WEEKS]]*604800+novatel_oem615[[#This Row],[GPS_SECONDS]]+novatel_oem615[[#This Row],[GPS_FRAC_SECS]]</f>
        <v>206387099.42199999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>
        <v>-2538000</v>
      </c>
      <c r="M70">
        <v>-6267000</v>
      </c>
      <c r="N70">
        <v>471400</v>
      </c>
      <c r="O70">
        <v>4089</v>
      </c>
      <c r="P70">
        <v>-1198</v>
      </c>
      <c r="Q70">
        <v>6019</v>
      </c>
      <c r="R70">
        <v>4.0257096289999996</v>
      </c>
      <c r="S70">
        <v>-112.0340271</v>
      </c>
      <c r="T70">
        <v>399978.8125</v>
      </c>
      <c r="V70">
        <v>2.8600000000000001E-5</v>
      </c>
      <c r="W70">
        <v>8.1956399999999995E-4</v>
      </c>
      <c r="X70">
        <v>9.6600000000000003E-5</v>
      </c>
      <c r="Y70">
        <v>2.0593400000000002E-3</v>
      </c>
      <c r="Z70">
        <v>8.24966E-4</v>
      </c>
      <c r="AA70">
        <v>-7.06315E-4</v>
      </c>
      <c r="AC70">
        <v>0</v>
      </c>
      <c r="AD70">
        <f t="shared" si="3"/>
        <v>0</v>
      </c>
      <c r="AE70">
        <f t="shared" si="4"/>
        <v>0</v>
      </c>
      <c r="AF70">
        <f t="shared" si="5"/>
        <v>0</v>
      </c>
      <c r="AG70">
        <v>0</v>
      </c>
      <c r="AH70">
        <v>0</v>
      </c>
      <c r="AI70">
        <v>0</v>
      </c>
    </row>
    <row r="71" spans="1:35" x14ac:dyDescent="0.25">
      <c r="A71">
        <f>novatel_oem615[[#This Row],[GPS_WEEKS]]*604800+novatel_oem615[[#This Row],[GPS_SECONDS]]+novatel_oem615[[#This Row],[GPS_FRAC_SECS]]</f>
        <v>206387100.17199999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>
        <v>-2535000</v>
      </c>
      <c r="M71">
        <v>-6268000</v>
      </c>
      <c r="N71">
        <v>475800</v>
      </c>
      <c r="O71">
        <v>4091</v>
      </c>
      <c r="P71">
        <v>-1193</v>
      </c>
      <c r="Q71">
        <v>6019</v>
      </c>
      <c r="R71">
        <v>4.0257096289999996</v>
      </c>
      <c r="S71">
        <v>-112.0340271</v>
      </c>
      <c r="T71">
        <v>399978.8125</v>
      </c>
      <c r="V71">
        <v>3.9400000000000002E-5</v>
      </c>
      <c r="W71">
        <v>5.3346199999999996E-4</v>
      </c>
      <c r="X71">
        <v>7.3899999999999994E-5</v>
      </c>
      <c r="Y71">
        <v>2.011657E-3</v>
      </c>
      <c r="Z71">
        <v>8.05892E-4</v>
      </c>
      <c r="AA71">
        <v>-7.7784100000000004E-4</v>
      </c>
      <c r="AC71">
        <v>0</v>
      </c>
      <c r="AD71">
        <f t="shared" si="3"/>
        <v>0</v>
      </c>
      <c r="AE71">
        <f t="shared" si="4"/>
        <v>0</v>
      </c>
      <c r="AF71">
        <f t="shared" si="5"/>
        <v>0</v>
      </c>
      <c r="AG71">
        <v>0</v>
      </c>
      <c r="AH71">
        <v>0</v>
      </c>
      <c r="AI71">
        <v>0</v>
      </c>
    </row>
    <row r="72" spans="1:35" x14ac:dyDescent="0.25">
      <c r="A72">
        <f>novatel_oem615[[#This Row],[GPS_WEEKS]]*604800+novatel_oem615[[#This Row],[GPS_SECONDS]]+novatel_oem615[[#This Row],[GPS_FRAC_SECS]]</f>
        <v>206387100.42199999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>
        <v>-2534000</v>
      </c>
      <c r="M72">
        <v>-6269000</v>
      </c>
      <c r="N72">
        <v>477300</v>
      </c>
      <c r="O72">
        <v>4092</v>
      </c>
      <c r="P72">
        <v>-1191</v>
      </c>
      <c r="Q72">
        <v>6018</v>
      </c>
      <c r="R72">
        <v>4.0257096289999996</v>
      </c>
      <c r="S72">
        <v>-112.0340271</v>
      </c>
      <c r="T72">
        <v>399978.8125</v>
      </c>
      <c r="V72">
        <v>5.3699999999999997E-5</v>
      </c>
      <c r="W72">
        <v>2.9504299999999999E-4</v>
      </c>
      <c r="X72">
        <v>5.13E-5</v>
      </c>
      <c r="Y72">
        <v>2.1070239999999999E-3</v>
      </c>
      <c r="Z72">
        <v>8.45231E-4</v>
      </c>
      <c r="AA72">
        <v>-8.2552400000000001E-4</v>
      </c>
      <c r="AC72">
        <v>0</v>
      </c>
      <c r="AD72">
        <f t="shared" si="3"/>
        <v>0</v>
      </c>
      <c r="AE72">
        <f t="shared" si="4"/>
        <v>0</v>
      </c>
      <c r="AF72">
        <f t="shared" si="5"/>
        <v>0</v>
      </c>
      <c r="AG72">
        <v>0</v>
      </c>
      <c r="AH72">
        <v>0</v>
      </c>
      <c r="AI72">
        <v>0</v>
      </c>
    </row>
    <row r="73" spans="1:35" x14ac:dyDescent="0.25">
      <c r="A73">
        <f>novatel_oem615[[#This Row],[GPS_WEEKS]]*604800+novatel_oem615[[#This Row],[GPS_SECONDS]]+novatel_oem615[[#This Row],[GPS_FRAC_SECS]]</f>
        <v>206387100.67199999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>
        <v>-2533000</v>
      </c>
      <c r="M73">
        <v>-6269000</v>
      </c>
      <c r="N73">
        <v>478800</v>
      </c>
      <c r="O73">
        <v>4093</v>
      </c>
      <c r="P73">
        <v>-1189</v>
      </c>
      <c r="Q73">
        <v>6018</v>
      </c>
      <c r="R73">
        <v>4.0257096289999996</v>
      </c>
      <c r="S73">
        <v>-112.0340271</v>
      </c>
      <c r="T73">
        <v>399978.8125</v>
      </c>
      <c r="AC73">
        <v>0</v>
      </c>
      <c r="AD73">
        <f t="shared" si="3"/>
        <v>0</v>
      </c>
      <c r="AE73">
        <f t="shared" si="4"/>
        <v>0</v>
      </c>
      <c r="AF73">
        <f t="shared" si="5"/>
        <v>0</v>
      </c>
      <c r="AG73">
        <v>0</v>
      </c>
      <c r="AH73">
        <v>0</v>
      </c>
      <c r="AI73">
        <v>0</v>
      </c>
    </row>
    <row r="74" spans="1:35" x14ac:dyDescent="0.25">
      <c r="A74">
        <f>novatel_oem615[[#This Row],[GPS_WEEKS]]*604800+novatel_oem615[[#This Row],[GPS_SECONDS]]+novatel_oem615[[#This Row],[GPS_FRAC_SECS]]</f>
        <v>206387100.92199999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>
        <v>-2532000</v>
      </c>
      <c r="M74">
        <v>-6269000</v>
      </c>
      <c r="N74">
        <v>480300</v>
      </c>
      <c r="O74">
        <v>4094</v>
      </c>
      <c r="P74">
        <v>-1187</v>
      </c>
      <c r="Q74">
        <v>6018</v>
      </c>
      <c r="R74">
        <v>4.0257096289999996</v>
      </c>
      <c r="S74">
        <v>-112.0340271</v>
      </c>
      <c r="T74">
        <v>399978.8125</v>
      </c>
      <c r="AC74">
        <v>0</v>
      </c>
      <c r="AD74">
        <f t="shared" si="3"/>
        <v>0</v>
      </c>
      <c r="AE74">
        <f t="shared" si="4"/>
        <v>0</v>
      </c>
      <c r="AF74">
        <f t="shared" si="5"/>
        <v>0</v>
      </c>
      <c r="AG74">
        <v>0</v>
      </c>
      <c r="AH74">
        <v>0</v>
      </c>
      <c r="AI74">
        <v>0</v>
      </c>
    </row>
    <row r="75" spans="1:35" x14ac:dyDescent="0.25">
      <c r="A75">
        <f>novatel_oem615[[#This Row],[GPS_WEEKS]]*604800+novatel_oem615[[#This Row],[GPS_SECONDS]]+novatel_oem615[[#This Row],[GPS_FRAC_SECS]]</f>
        <v>206387101.17199999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>
        <v>-2531000</v>
      </c>
      <c r="M75">
        <v>-6269000</v>
      </c>
      <c r="N75">
        <v>481800</v>
      </c>
      <c r="O75">
        <v>4094</v>
      </c>
      <c r="P75">
        <v>-1185</v>
      </c>
      <c r="Q75">
        <v>6018</v>
      </c>
      <c r="R75">
        <v>4.0257096289999996</v>
      </c>
      <c r="S75">
        <v>-112.0340271</v>
      </c>
      <c r="T75">
        <v>399978.8125</v>
      </c>
      <c r="AC75">
        <v>0</v>
      </c>
      <c r="AD75">
        <f t="shared" si="3"/>
        <v>0</v>
      </c>
      <c r="AE75">
        <f t="shared" si="4"/>
        <v>0</v>
      </c>
      <c r="AF75">
        <f t="shared" si="5"/>
        <v>0</v>
      </c>
      <c r="AG75">
        <v>0</v>
      </c>
      <c r="AH75">
        <v>0</v>
      </c>
      <c r="AI75">
        <v>0</v>
      </c>
    </row>
    <row r="76" spans="1:35" x14ac:dyDescent="0.25">
      <c r="A76">
        <f>novatel_oem615[[#This Row],[GPS_WEEKS]]*604800+novatel_oem615[[#This Row],[GPS_SECONDS]]+novatel_oem615[[#This Row],[GPS_FRAC_SECS]]</f>
        <v>206387101.42199999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>
        <v>-2530000</v>
      </c>
      <c r="M76">
        <v>-6270000</v>
      </c>
      <c r="N76">
        <v>483300</v>
      </c>
      <c r="O76">
        <v>4095</v>
      </c>
      <c r="P76">
        <v>-1184</v>
      </c>
      <c r="Q76">
        <v>6018</v>
      </c>
      <c r="R76">
        <v>4.0257096289999996</v>
      </c>
      <c r="S76">
        <v>-112.0340271</v>
      </c>
      <c r="T76">
        <v>399978.8125</v>
      </c>
      <c r="AC76">
        <v>0</v>
      </c>
      <c r="AD76">
        <f t="shared" si="3"/>
        <v>0</v>
      </c>
      <c r="AE76">
        <f t="shared" si="4"/>
        <v>3</v>
      </c>
      <c r="AF76">
        <f t="shared" si="5"/>
        <v>0</v>
      </c>
      <c r="AG76">
        <v>0</v>
      </c>
      <c r="AH76">
        <v>0</v>
      </c>
      <c r="AI76">
        <v>0</v>
      </c>
    </row>
    <row r="77" spans="1:35" x14ac:dyDescent="0.25">
      <c r="A77">
        <f>novatel_oem615[[#This Row],[GPS_WEEKS]]*604800+novatel_oem615[[#This Row],[GPS_SECONDS]]+novatel_oem615[[#This Row],[GPS_FRAC_SECS]]</f>
        <v>206387101.67199999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>
        <v>-2528000</v>
      </c>
      <c r="M77">
        <v>-6270000</v>
      </c>
      <c r="N77">
        <v>484800</v>
      </c>
      <c r="O77">
        <v>4096</v>
      </c>
      <c r="P77">
        <v>-1182</v>
      </c>
      <c r="Q77">
        <v>6018</v>
      </c>
      <c r="R77">
        <v>4.0257096289999996</v>
      </c>
      <c r="S77">
        <v>-112.0340271</v>
      </c>
      <c r="T77">
        <v>399978.8125</v>
      </c>
      <c r="AC77">
        <v>0</v>
      </c>
      <c r="AD77">
        <f t="shared" si="3"/>
        <v>0</v>
      </c>
      <c r="AE77">
        <f t="shared" si="4"/>
        <v>0</v>
      </c>
      <c r="AF77">
        <f t="shared" si="5"/>
        <v>0</v>
      </c>
      <c r="AG77">
        <v>0</v>
      </c>
      <c r="AH77">
        <v>0</v>
      </c>
      <c r="AI77">
        <v>0</v>
      </c>
    </row>
    <row r="78" spans="1:35" x14ac:dyDescent="0.25">
      <c r="A78">
        <f>novatel_oem615[[#This Row],[GPS_WEEKS]]*604800+novatel_oem615[[#This Row],[GPS_SECONDS]]+novatel_oem615[[#This Row],[GPS_FRAC_SECS]]</f>
        <v>206387101.92199999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>
        <v>-2527000</v>
      </c>
      <c r="M78">
        <v>-6270000</v>
      </c>
      <c r="N78">
        <v>486300</v>
      </c>
      <c r="O78">
        <v>4097</v>
      </c>
      <c r="P78">
        <v>-1180</v>
      </c>
      <c r="Q78">
        <v>6017</v>
      </c>
      <c r="R78">
        <v>4.0257096289999996</v>
      </c>
      <c r="S78">
        <v>-112.0340271</v>
      </c>
      <c r="T78">
        <v>399978.8125</v>
      </c>
      <c r="AC78">
        <v>0</v>
      </c>
      <c r="AD78">
        <f t="shared" si="3"/>
        <v>0</v>
      </c>
      <c r="AE78">
        <f t="shared" si="4"/>
        <v>0</v>
      </c>
      <c r="AF78">
        <f t="shared" si="5"/>
        <v>0</v>
      </c>
      <c r="AG78">
        <v>0</v>
      </c>
      <c r="AH78">
        <v>0</v>
      </c>
      <c r="AI78">
        <v>0</v>
      </c>
    </row>
    <row r="79" spans="1:35" x14ac:dyDescent="0.25">
      <c r="A79">
        <f>novatel_oem615[[#This Row],[GPS_WEEKS]]*604800+novatel_oem615[[#This Row],[GPS_SECONDS]]+novatel_oem615[[#This Row],[GPS_FRAC_SECS]]</f>
        <v>206387102.17199999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>
        <v>-2526000</v>
      </c>
      <c r="M79">
        <v>-6271000</v>
      </c>
      <c r="N79">
        <v>487800</v>
      </c>
      <c r="O79">
        <v>4097</v>
      </c>
      <c r="P79">
        <v>-1178</v>
      </c>
      <c r="Q79">
        <v>6017</v>
      </c>
      <c r="R79">
        <v>4.0257096289999996</v>
      </c>
      <c r="S79">
        <v>-112.0340271</v>
      </c>
      <c r="T79">
        <v>399978.8125</v>
      </c>
      <c r="AC79">
        <v>0</v>
      </c>
      <c r="AD79">
        <f t="shared" si="3"/>
        <v>0</v>
      </c>
      <c r="AE79">
        <f t="shared" si="4"/>
        <v>0</v>
      </c>
      <c r="AF79">
        <f t="shared" si="5"/>
        <v>0</v>
      </c>
      <c r="AG79">
        <v>0</v>
      </c>
      <c r="AH79">
        <v>0</v>
      </c>
      <c r="AI79">
        <v>0</v>
      </c>
    </row>
    <row r="80" spans="1:35" x14ac:dyDescent="0.25">
      <c r="A80">
        <f>novatel_oem615[[#This Row],[GPS_WEEKS]]*604800+novatel_oem615[[#This Row],[GPS_SECONDS]]+novatel_oem615[[#This Row],[GPS_FRAC_SECS]]</f>
        <v>206387102.42199999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>
        <v>-2525000</v>
      </c>
      <c r="M80">
        <v>-6271000</v>
      </c>
      <c r="N80">
        <v>489300</v>
      </c>
      <c r="O80">
        <v>4098</v>
      </c>
      <c r="P80">
        <v>-1176</v>
      </c>
      <c r="Q80">
        <v>6017</v>
      </c>
      <c r="R80">
        <v>4.0257096289999996</v>
      </c>
      <c r="S80">
        <v>-112.0340271</v>
      </c>
      <c r="T80">
        <v>399978.8125</v>
      </c>
      <c r="AC80">
        <v>0</v>
      </c>
      <c r="AD80">
        <f t="shared" si="3"/>
        <v>0</v>
      </c>
      <c r="AE80">
        <f t="shared" si="4"/>
        <v>0</v>
      </c>
      <c r="AF80">
        <f t="shared" si="5"/>
        <v>0</v>
      </c>
      <c r="AG80">
        <v>0</v>
      </c>
      <c r="AH80">
        <v>0</v>
      </c>
      <c r="AI80">
        <v>0</v>
      </c>
    </row>
    <row r="81" spans="1:35" x14ac:dyDescent="0.25">
      <c r="A81">
        <f>novatel_oem615[[#This Row],[GPS_WEEKS]]*604800+novatel_oem615[[#This Row],[GPS_SECONDS]]+novatel_oem615[[#This Row],[GPS_FRAC_SECS]]</f>
        <v>206387102.67199999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>
        <v>-2524000</v>
      </c>
      <c r="M81">
        <v>-6271000</v>
      </c>
      <c r="N81">
        <v>490800</v>
      </c>
      <c r="O81">
        <v>4099</v>
      </c>
      <c r="P81">
        <v>-1174</v>
      </c>
      <c r="Q81">
        <v>6017</v>
      </c>
      <c r="R81">
        <v>4.0257096289999996</v>
      </c>
      <c r="S81">
        <v>-112.0340271</v>
      </c>
      <c r="T81">
        <v>399978.8125</v>
      </c>
      <c r="AC81">
        <v>0</v>
      </c>
      <c r="AD81">
        <f t="shared" si="3"/>
        <v>0</v>
      </c>
      <c r="AE81">
        <f t="shared" si="4"/>
        <v>0</v>
      </c>
      <c r="AF81">
        <f t="shared" si="5"/>
        <v>0</v>
      </c>
      <c r="AG81">
        <v>0</v>
      </c>
      <c r="AH81">
        <v>0</v>
      </c>
      <c r="AI81">
        <v>0</v>
      </c>
    </row>
    <row r="82" spans="1:35" x14ac:dyDescent="0.25">
      <c r="A82">
        <f>novatel_oem615[[#This Row],[GPS_WEEKS]]*604800+novatel_oem615[[#This Row],[GPS_SECONDS]]+novatel_oem615[[#This Row],[GPS_FRAC_SECS]]</f>
        <v>206387102.92199999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>
        <v>-2523000</v>
      </c>
      <c r="M82">
        <v>-6271000</v>
      </c>
      <c r="N82">
        <v>492300</v>
      </c>
      <c r="O82">
        <v>4100</v>
      </c>
      <c r="P82">
        <v>-1173</v>
      </c>
      <c r="Q82">
        <v>6017</v>
      </c>
      <c r="R82">
        <v>4.0257096289999996</v>
      </c>
      <c r="S82">
        <v>-112.0340271</v>
      </c>
      <c r="T82">
        <v>399978.8125</v>
      </c>
      <c r="AC82">
        <v>0</v>
      </c>
      <c r="AD82">
        <f t="shared" si="3"/>
        <v>0</v>
      </c>
      <c r="AE82">
        <f t="shared" si="4"/>
        <v>0</v>
      </c>
      <c r="AF82">
        <f t="shared" si="5"/>
        <v>0</v>
      </c>
      <c r="AG82">
        <v>0</v>
      </c>
      <c r="AH82">
        <v>0</v>
      </c>
      <c r="AI82">
        <v>0</v>
      </c>
    </row>
    <row r="83" spans="1:35" x14ac:dyDescent="0.25">
      <c r="A83">
        <f>novatel_oem615[[#This Row],[GPS_WEEKS]]*604800+novatel_oem615[[#This Row],[GPS_SECONDS]]+novatel_oem615[[#This Row],[GPS_FRAC_SECS]]</f>
        <v>206387103.17199999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-2522000</v>
      </c>
      <c r="M83">
        <v>-6272000</v>
      </c>
      <c r="N83">
        <v>493700</v>
      </c>
      <c r="O83">
        <v>4101</v>
      </c>
      <c r="P83">
        <v>-1171</v>
      </c>
      <c r="Q83">
        <v>6017</v>
      </c>
      <c r="R83">
        <v>4.0257096289999996</v>
      </c>
      <c r="S83">
        <v>-112.0340271</v>
      </c>
      <c r="T83">
        <v>399978.8125</v>
      </c>
      <c r="AC83">
        <v>0</v>
      </c>
      <c r="AD83">
        <f t="shared" si="3"/>
        <v>0</v>
      </c>
      <c r="AE83">
        <f t="shared" si="4"/>
        <v>0</v>
      </c>
      <c r="AF83">
        <f t="shared" si="5"/>
        <v>0</v>
      </c>
      <c r="AG83">
        <v>0</v>
      </c>
      <c r="AH83">
        <v>0</v>
      </c>
      <c r="AI83">
        <v>0</v>
      </c>
    </row>
    <row r="84" spans="1:35" x14ac:dyDescent="0.25">
      <c r="A84">
        <f>novatel_oem615[[#This Row],[GPS_WEEKS]]*604800+novatel_oem615[[#This Row],[GPS_SECONDS]]+novatel_oem615[[#This Row],[GPS_FRAC_SECS]]</f>
        <v>206387103.42199999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>
        <v>-2521000</v>
      </c>
      <c r="M84">
        <v>-6272000</v>
      </c>
      <c r="N84">
        <v>495200</v>
      </c>
      <c r="O84">
        <v>4101</v>
      </c>
      <c r="P84">
        <v>-1169</v>
      </c>
      <c r="Q84">
        <v>6016</v>
      </c>
      <c r="R84">
        <v>4.0257096289999996</v>
      </c>
      <c r="S84">
        <v>-112.0340271</v>
      </c>
      <c r="T84">
        <v>399978.8125</v>
      </c>
      <c r="AC84">
        <v>1</v>
      </c>
      <c r="AD84">
        <f t="shared" si="3"/>
        <v>0</v>
      </c>
      <c r="AE84">
        <f t="shared" si="4"/>
        <v>3</v>
      </c>
      <c r="AF84">
        <f t="shared" si="5"/>
        <v>0</v>
      </c>
      <c r="AG84">
        <v>0</v>
      </c>
      <c r="AH84">
        <v>0</v>
      </c>
      <c r="AI84">
        <v>0</v>
      </c>
    </row>
    <row r="85" spans="1:35" x14ac:dyDescent="0.25">
      <c r="A85">
        <f>novatel_oem615[[#This Row],[GPS_WEEKS]]*604800+novatel_oem615[[#This Row],[GPS_SECONDS]]+novatel_oem615[[#This Row],[GPS_FRAC_SECS]]</f>
        <v>206387103.42199999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>
        <v>-2521000</v>
      </c>
      <c r="M85">
        <v>-6272000</v>
      </c>
      <c r="N85">
        <v>495200</v>
      </c>
      <c r="O85">
        <v>4101</v>
      </c>
      <c r="P85">
        <v>-1169</v>
      </c>
      <c r="Q85">
        <v>6016</v>
      </c>
      <c r="R85">
        <v>4.0257096289999996</v>
      </c>
      <c r="S85">
        <v>-112.0340271</v>
      </c>
      <c r="T85">
        <v>399978.8125</v>
      </c>
      <c r="AC85">
        <v>1</v>
      </c>
      <c r="AD85">
        <f t="shared" si="3"/>
        <v>0</v>
      </c>
      <c r="AE85">
        <f t="shared" si="4"/>
        <v>3</v>
      </c>
      <c r="AF85">
        <f t="shared" si="5"/>
        <v>0</v>
      </c>
      <c r="AG85">
        <v>0</v>
      </c>
      <c r="AH85">
        <v>0</v>
      </c>
      <c r="AI85">
        <v>0</v>
      </c>
    </row>
    <row r="86" spans="1:35" x14ac:dyDescent="0.25">
      <c r="A86">
        <f>novatel_oem615[[#This Row],[GPS_WEEKS]]*604800+novatel_oem615[[#This Row],[GPS_SECONDS]]+novatel_oem615[[#This Row],[GPS_FRAC_SECS]]</f>
        <v>206387103.42199999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>
        <v>-2521000</v>
      </c>
      <c r="M86">
        <v>-6272000</v>
      </c>
      <c r="N86">
        <v>495200</v>
      </c>
      <c r="O86">
        <v>4101</v>
      </c>
      <c r="P86">
        <v>-1169</v>
      </c>
      <c r="Q86">
        <v>6016</v>
      </c>
      <c r="R86">
        <v>4.0257096289999996</v>
      </c>
      <c r="S86">
        <v>-112.0340271</v>
      </c>
      <c r="T86">
        <v>399978.8125</v>
      </c>
      <c r="AC86">
        <v>1</v>
      </c>
      <c r="AD86">
        <f t="shared" si="3"/>
        <v>0</v>
      </c>
      <c r="AE86">
        <f t="shared" si="4"/>
        <v>3</v>
      </c>
      <c r="AF86">
        <f t="shared" si="5"/>
        <v>0</v>
      </c>
      <c r="AG86">
        <v>0</v>
      </c>
      <c r="AH86">
        <v>0</v>
      </c>
      <c r="AI86">
        <v>0</v>
      </c>
    </row>
    <row r="87" spans="1:35" x14ac:dyDescent="0.25">
      <c r="A87">
        <f>novatel_oem615[[#This Row],[GPS_WEEKS]]*604800+novatel_oem615[[#This Row],[GPS_SECONDS]]+novatel_oem615[[#This Row],[GPS_FRAC_SECS]]</f>
        <v>206387103.42199999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>
        <v>-2521000</v>
      </c>
      <c r="M87">
        <v>-6272000</v>
      </c>
      <c r="N87">
        <v>495200</v>
      </c>
      <c r="O87">
        <v>4101</v>
      </c>
      <c r="P87">
        <v>-1169</v>
      </c>
      <c r="Q87">
        <v>6016</v>
      </c>
      <c r="R87">
        <v>4.0257096289999996</v>
      </c>
      <c r="S87">
        <v>-112.0340271</v>
      </c>
      <c r="T87">
        <v>399978.8125</v>
      </c>
      <c r="AC87">
        <v>1</v>
      </c>
      <c r="AD87">
        <f t="shared" si="3"/>
        <v>0</v>
      </c>
      <c r="AE87">
        <f t="shared" si="4"/>
        <v>3</v>
      </c>
      <c r="AF87">
        <f t="shared" si="5"/>
        <v>0</v>
      </c>
      <c r="AG87">
        <v>0</v>
      </c>
      <c r="AH87">
        <v>0</v>
      </c>
      <c r="AI87">
        <v>0</v>
      </c>
    </row>
    <row r="88" spans="1:35" x14ac:dyDescent="0.25">
      <c r="A88">
        <f>novatel_oem615[[#This Row],[GPS_WEEKS]]*604800+novatel_oem615[[#This Row],[GPS_SECONDS]]+novatel_oem615[[#This Row],[GPS_FRAC_SECS]]</f>
        <v>206387103.42199999</v>
      </c>
      <c r="B88">
        <v>1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>
        <v>-2521000</v>
      </c>
      <c r="M88">
        <v>-6272000</v>
      </c>
      <c r="N88">
        <v>495200</v>
      </c>
      <c r="O88">
        <v>4101</v>
      </c>
      <c r="P88">
        <v>-1169</v>
      </c>
      <c r="Q88">
        <v>6016</v>
      </c>
      <c r="R88">
        <v>4.0257096289999996</v>
      </c>
      <c r="S88">
        <v>-112.0340271</v>
      </c>
      <c r="T88">
        <v>399978.8125</v>
      </c>
      <c r="AC88">
        <v>1</v>
      </c>
      <c r="AD88">
        <f t="shared" si="3"/>
        <v>0</v>
      </c>
      <c r="AE88">
        <f t="shared" si="4"/>
        <v>3</v>
      </c>
      <c r="AF88">
        <f t="shared" si="5"/>
        <v>0</v>
      </c>
      <c r="AG88">
        <v>0</v>
      </c>
      <c r="AH88">
        <v>0</v>
      </c>
      <c r="AI88">
        <v>0</v>
      </c>
    </row>
    <row r="89" spans="1:35" x14ac:dyDescent="0.25">
      <c r="A89">
        <f>novatel_oem615[[#This Row],[GPS_WEEKS]]*604800+novatel_oem615[[#This Row],[GPS_SECONDS]]+novatel_oem615[[#This Row],[GPS_FRAC_SECS]]</f>
        <v>206387103.42199999</v>
      </c>
      <c r="B89">
        <v>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L89">
        <v>-2521000</v>
      </c>
      <c r="M89">
        <v>-6272000</v>
      </c>
      <c r="N89">
        <v>495200</v>
      </c>
      <c r="O89">
        <v>4101</v>
      </c>
      <c r="P89">
        <v>-1169</v>
      </c>
      <c r="Q89">
        <v>6016</v>
      </c>
      <c r="R89">
        <v>4.0257096289999996</v>
      </c>
      <c r="S89">
        <v>-112.0340271</v>
      </c>
      <c r="T89">
        <v>399978.8125</v>
      </c>
      <c r="AC89">
        <v>1</v>
      </c>
      <c r="AD89">
        <f t="shared" si="3"/>
        <v>0</v>
      </c>
      <c r="AE89">
        <f t="shared" si="4"/>
        <v>3</v>
      </c>
      <c r="AF89">
        <f t="shared" si="5"/>
        <v>0</v>
      </c>
      <c r="AG89">
        <v>0</v>
      </c>
      <c r="AH89">
        <v>0</v>
      </c>
      <c r="AI89">
        <v>0</v>
      </c>
    </row>
    <row r="90" spans="1:35" x14ac:dyDescent="0.25">
      <c r="A90">
        <f>novatel_oem615[[#This Row],[GPS_WEEKS]]*604800+novatel_oem615[[#This Row],[GPS_SECONDS]]+novatel_oem615[[#This Row],[GPS_FRAC_SECS]]</f>
        <v>206387103.42199999</v>
      </c>
      <c r="B90">
        <v>1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L90">
        <v>-2521000</v>
      </c>
      <c r="M90">
        <v>-6272000</v>
      </c>
      <c r="N90">
        <v>495200</v>
      </c>
      <c r="O90">
        <v>4101</v>
      </c>
      <c r="P90">
        <v>-1169</v>
      </c>
      <c r="Q90">
        <v>6016</v>
      </c>
      <c r="R90">
        <v>4.0257096289999996</v>
      </c>
      <c r="S90">
        <v>-112.0340271</v>
      </c>
      <c r="T90">
        <v>399978.8125</v>
      </c>
      <c r="AC90">
        <v>1</v>
      </c>
      <c r="AD90">
        <f t="shared" si="3"/>
        <v>0</v>
      </c>
      <c r="AE90">
        <f t="shared" si="4"/>
        <v>3</v>
      </c>
      <c r="AF90">
        <f t="shared" si="5"/>
        <v>0</v>
      </c>
      <c r="AG90">
        <v>0</v>
      </c>
      <c r="AH90">
        <v>0</v>
      </c>
      <c r="AI90">
        <v>0</v>
      </c>
    </row>
    <row r="91" spans="1:35" x14ac:dyDescent="0.25">
      <c r="A91">
        <f>novatel_oem615[[#This Row],[GPS_WEEKS]]*604800+novatel_oem615[[#This Row],[GPS_SECONDS]]+novatel_oem615[[#This Row],[GPS_FRAC_SECS]]</f>
        <v>206387103.42199999</v>
      </c>
      <c r="B91">
        <v>1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L91">
        <v>-2521000</v>
      </c>
      <c r="M91">
        <v>-6272000</v>
      </c>
      <c r="N91">
        <v>495200</v>
      </c>
      <c r="O91">
        <v>4101</v>
      </c>
      <c r="P91">
        <v>-1169</v>
      </c>
      <c r="Q91">
        <v>6016</v>
      </c>
      <c r="R91">
        <v>4.0257096289999996</v>
      </c>
      <c r="S91">
        <v>-112.0340271</v>
      </c>
      <c r="T91">
        <v>399978.8125</v>
      </c>
      <c r="AC91">
        <v>1</v>
      </c>
      <c r="AD91">
        <f t="shared" si="3"/>
        <v>0</v>
      </c>
      <c r="AE91">
        <f t="shared" si="4"/>
        <v>3</v>
      </c>
      <c r="AF91">
        <f t="shared" si="5"/>
        <v>0</v>
      </c>
      <c r="AG91">
        <v>0</v>
      </c>
      <c r="AH91">
        <v>0</v>
      </c>
      <c r="AI91">
        <v>0</v>
      </c>
    </row>
    <row r="92" spans="1:35" x14ac:dyDescent="0.25">
      <c r="A92">
        <f>novatel_oem615[[#This Row],[GPS_WEEKS]]*604800+novatel_oem615[[#This Row],[GPS_SECONDS]]+novatel_oem615[[#This Row],[GPS_FRAC_SECS]]</f>
        <v>206387103.42199999</v>
      </c>
      <c r="B92">
        <v>1</v>
      </c>
      <c r="C92">
        <v>0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-2521000</v>
      </c>
      <c r="M92">
        <v>-6272000</v>
      </c>
      <c r="N92">
        <v>495200</v>
      </c>
      <c r="O92">
        <v>4101</v>
      </c>
      <c r="P92">
        <v>-1169</v>
      </c>
      <c r="Q92">
        <v>6016</v>
      </c>
      <c r="R92">
        <v>4.0257096289999996</v>
      </c>
      <c r="S92">
        <v>-112.0340271</v>
      </c>
      <c r="T92">
        <v>399978.8125</v>
      </c>
      <c r="AC92">
        <v>1</v>
      </c>
      <c r="AD92">
        <f t="shared" si="3"/>
        <v>0</v>
      </c>
      <c r="AE92">
        <f t="shared" si="4"/>
        <v>3</v>
      </c>
      <c r="AF92">
        <f t="shared" si="5"/>
        <v>0</v>
      </c>
      <c r="AG92">
        <v>0</v>
      </c>
      <c r="AH92">
        <v>0</v>
      </c>
      <c r="AI92">
        <v>0</v>
      </c>
    </row>
    <row r="93" spans="1:35" x14ac:dyDescent="0.25">
      <c r="A93">
        <f>novatel_oem615[[#This Row],[GPS_WEEKS]]*604800+novatel_oem615[[#This Row],[GPS_SECONDS]]+novatel_oem615[[#This Row],[GPS_FRAC_SECS]]</f>
        <v>206387103.42199999</v>
      </c>
      <c r="B93">
        <v>1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-2521000</v>
      </c>
      <c r="M93">
        <v>-6272000</v>
      </c>
      <c r="N93">
        <v>495200</v>
      </c>
      <c r="O93">
        <v>4101</v>
      </c>
      <c r="P93">
        <v>-1169</v>
      </c>
      <c r="Q93">
        <v>6016</v>
      </c>
      <c r="R93">
        <v>4.0257096289999996</v>
      </c>
      <c r="S93">
        <v>-112.0340271</v>
      </c>
      <c r="T93">
        <v>399978.8125</v>
      </c>
      <c r="AC93">
        <v>1</v>
      </c>
      <c r="AD93">
        <f t="shared" si="3"/>
        <v>0</v>
      </c>
      <c r="AE93">
        <f t="shared" si="4"/>
        <v>3</v>
      </c>
      <c r="AF93">
        <f t="shared" si="5"/>
        <v>0</v>
      </c>
      <c r="AG93">
        <v>0</v>
      </c>
      <c r="AH93">
        <v>0</v>
      </c>
      <c r="AI93">
        <v>0</v>
      </c>
    </row>
    <row r="94" spans="1:35" x14ac:dyDescent="0.25">
      <c r="A94">
        <f>novatel_oem615[[#This Row],[GPS_WEEKS]]*604800+novatel_oem615[[#This Row],[GPS_SECONDS]]+novatel_oem615[[#This Row],[GPS_FRAC_SECS]]</f>
        <v>206387103.42199999</v>
      </c>
      <c r="B94">
        <v>1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L94">
        <v>-2521000</v>
      </c>
      <c r="M94">
        <v>-6272000</v>
      </c>
      <c r="N94">
        <v>495200</v>
      </c>
      <c r="O94">
        <v>4101</v>
      </c>
      <c r="P94">
        <v>-1169</v>
      </c>
      <c r="Q94">
        <v>6016</v>
      </c>
      <c r="R94">
        <v>4.0257096289999996</v>
      </c>
      <c r="S94">
        <v>-112.0340271</v>
      </c>
      <c r="T94">
        <v>399978.8125</v>
      </c>
      <c r="AC94">
        <v>1</v>
      </c>
      <c r="AD94">
        <f t="shared" si="3"/>
        <v>0</v>
      </c>
      <c r="AE94">
        <f t="shared" si="4"/>
        <v>3</v>
      </c>
      <c r="AF94">
        <f t="shared" si="5"/>
        <v>0</v>
      </c>
      <c r="AG94">
        <v>0</v>
      </c>
      <c r="AH94">
        <v>0</v>
      </c>
      <c r="AI94">
        <v>0</v>
      </c>
    </row>
    <row r="95" spans="1:35" x14ac:dyDescent="0.25">
      <c r="A95">
        <f>novatel_oem615[[#This Row],[GPS_WEEKS]]*604800+novatel_oem615[[#This Row],[GPS_SECONDS]]+novatel_oem615[[#This Row],[GPS_FRAC_SECS]]</f>
        <v>206387103.42199999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L95">
        <v>-2521000</v>
      </c>
      <c r="M95">
        <v>-6272000</v>
      </c>
      <c r="N95">
        <v>495200</v>
      </c>
      <c r="O95">
        <v>4101</v>
      </c>
      <c r="P95">
        <v>-1169</v>
      </c>
      <c r="Q95">
        <v>6016</v>
      </c>
      <c r="R95">
        <v>4.0257096289999996</v>
      </c>
      <c r="S95">
        <v>-112.0340271</v>
      </c>
      <c r="T95">
        <v>399978.8125</v>
      </c>
      <c r="AC95">
        <v>1</v>
      </c>
      <c r="AD95">
        <f t="shared" si="3"/>
        <v>0</v>
      </c>
      <c r="AE95">
        <f t="shared" si="4"/>
        <v>3</v>
      </c>
      <c r="AF95">
        <f t="shared" si="5"/>
        <v>0</v>
      </c>
      <c r="AG95">
        <v>0</v>
      </c>
      <c r="AH95">
        <v>0</v>
      </c>
      <c r="AI95">
        <v>0</v>
      </c>
    </row>
    <row r="96" spans="1:35" x14ac:dyDescent="0.25">
      <c r="A96">
        <f>novatel_oem615[[#This Row],[GPS_WEEKS]]*604800+novatel_oem615[[#This Row],[GPS_SECONDS]]+novatel_oem615[[#This Row],[GPS_FRAC_SECS]]</f>
        <v>206387103.42199999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L96">
        <v>-2521000</v>
      </c>
      <c r="M96">
        <v>-6272000</v>
      </c>
      <c r="N96">
        <v>495200</v>
      </c>
      <c r="O96">
        <v>4101</v>
      </c>
      <c r="P96">
        <v>-1169</v>
      </c>
      <c r="Q96">
        <v>6016</v>
      </c>
      <c r="R96">
        <v>4.0257096289999996</v>
      </c>
      <c r="S96">
        <v>-112.0340271</v>
      </c>
      <c r="T96">
        <v>399978.8125</v>
      </c>
      <c r="AC96">
        <v>1</v>
      </c>
      <c r="AD96">
        <f t="shared" si="3"/>
        <v>0</v>
      </c>
      <c r="AE96">
        <f t="shared" si="4"/>
        <v>3</v>
      </c>
      <c r="AF96">
        <f t="shared" si="5"/>
        <v>0</v>
      </c>
      <c r="AG96">
        <v>0</v>
      </c>
      <c r="AH96">
        <v>0</v>
      </c>
      <c r="AI96">
        <v>0</v>
      </c>
    </row>
    <row r="97" spans="1:35" x14ac:dyDescent="0.25">
      <c r="A97">
        <f>novatel_oem615[[#This Row],[GPS_WEEKS]]*604800+novatel_oem615[[#This Row],[GPS_SECONDS]]+novatel_oem615[[#This Row],[GPS_FRAC_SECS]]</f>
        <v>206387103.42199999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L97">
        <v>-2521000</v>
      </c>
      <c r="M97">
        <v>-6272000</v>
      </c>
      <c r="N97">
        <v>495200</v>
      </c>
      <c r="O97">
        <v>4101</v>
      </c>
      <c r="P97">
        <v>-1169</v>
      </c>
      <c r="Q97">
        <v>6016</v>
      </c>
      <c r="R97">
        <v>4.0257096289999996</v>
      </c>
      <c r="S97">
        <v>-112.0340271</v>
      </c>
      <c r="T97">
        <v>399978.8125</v>
      </c>
      <c r="AC97">
        <v>1</v>
      </c>
      <c r="AD97">
        <f t="shared" si="3"/>
        <v>0</v>
      </c>
      <c r="AE97">
        <f t="shared" si="4"/>
        <v>3</v>
      </c>
      <c r="AF97">
        <f t="shared" si="5"/>
        <v>0</v>
      </c>
      <c r="AG97">
        <v>0</v>
      </c>
      <c r="AH97">
        <v>0</v>
      </c>
      <c r="AI97">
        <v>0</v>
      </c>
    </row>
    <row r="98" spans="1:35" x14ac:dyDescent="0.25">
      <c r="A98">
        <f>novatel_oem615[[#This Row],[GPS_WEEKS]]*604800+novatel_oem615[[#This Row],[GPS_SECONDS]]+novatel_oem615[[#This Row],[GPS_FRAC_SECS]]</f>
        <v>206387103.42199999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-2521000</v>
      </c>
      <c r="M98">
        <v>-6272000</v>
      </c>
      <c r="N98">
        <v>495200</v>
      </c>
      <c r="O98">
        <v>4101</v>
      </c>
      <c r="P98">
        <v>-1169</v>
      </c>
      <c r="Q98">
        <v>6016</v>
      </c>
      <c r="R98">
        <v>4.0257096289999996</v>
      </c>
      <c r="S98">
        <v>-112.0340271</v>
      </c>
      <c r="T98">
        <v>399978.8125</v>
      </c>
      <c r="AC98">
        <v>1</v>
      </c>
      <c r="AD98">
        <f t="shared" si="3"/>
        <v>0</v>
      </c>
      <c r="AE98">
        <f t="shared" si="4"/>
        <v>3</v>
      </c>
      <c r="AF98">
        <f t="shared" si="5"/>
        <v>0</v>
      </c>
      <c r="AG98">
        <v>0</v>
      </c>
      <c r="AH98">
        <v>0</v>
      </c>
      <c r="AI98">
        <v>0</v>
      </c>
    </row>
    <row r="99" spans="1:35" x14ac:dyDescent="0.25">
      <c r="A99">
        <f>novatel_oem615[[#This Row],[GPS_WEEKS]]*604800+novatel_oem615[[#This Row],[GPS_SECONDS]]+novatel_oem615[[#This Row],[GPS_FRAC_SECS]]</f>
        <v>206387103.42199999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L99">
        <v>-2521000</v>
      </c>
      <c r="M99">
        <v>-6272000</v>
      </c>
      <c r="N99">
        <v>495200</v>
      </c>
      <c r="O99">
        <v>4101</v>
      </c>
      <c r="P99">
        <v>-1169</v>
      </c>
      <c r="Q99">
        <v>6016</v>
      </c>
      <c r="R99">
        <v>4.0257096289999996</v>
      </c>
      <c r="S99">
        <v>-112.0340271</v>
      </c>
      <c r="T99">
        <v>399978.8125</v>
      </c>
      <c r="AC99">
        <v>1</v>
      </c>
      <c r="AD99">
        <f t="shared" si="3"/>
        <v>0</v>
      </c>
      <c r="AE99">
        <f t="shared" si="4"/>
        <v>3</v>
      </c>
      <c r="AF99">
        <f t="shared" si="5"/>
        <v>0</v>
      </c>
      <c r="AG99">
        <v>0</v>
      </c>
      <c r="AH99">
        <v>0</v>
      </c>
      <c r="AI99">
        <v>0</v>
      </c>
    </row>
    <row r="100" spans="1:35" x14ac:dyDescent="0.25">
      <c r="A100">
        <f>novatel_oem615[[#This Row],[GPS_WEEKS]]*604800+novatel_oem615[[#This Row],[GPS_SECONDS]]+novatel_oem615[[#This Row],[GPS_FRAC_SECS]]</f>
        <v>206387103.42199999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L100">
        <v>-2521000</v>
      </c>
      <c r="M100">
        <v>-6272000</v>
      </c>
      <c r="N100">
        <v>495200</v>
      </c>
      <c r="O100">
        <v>4101</v>
      </c>
      <c r="P100">
        <v>-1169</v>
      </c>
      <c r="Q100">
        <v>6016</v>
      </c>
      <c r="R100">
        <v>4.0257096289999996</v>
      </c>
      <c r="S100">
        <v>-112.0340271</v>
      </c>
      <c r="T100">
        <v>399978.8125</v>
      </c>
      <c r="AC100">
        <v>1</v>
      </c>
      <c r="AD100">
        <f t="shared" si="3"/>
        <v>0</v>
      </c>
      <c r="AE100">
        <f t="shared" si="4"/>
        <v>3</v>
      </c>
      <c r="AF100">
        <f t="shared" si="5"/>
        <v>0</v>
      </c>
      <c r="AG100">
        <v>0</v>
      </c>
      <c r="AH100">
        <v>0</v>
      </c>
      <c r="AI100">
        <v>0</v>
      </c>
    </row>
    <row r="101" spans="1:35" x14ac:dyDescent="0.25">
      <c r="A101">
        <f>novatel_oem615[[#This Row],[GPS_WEEKS]]*604800+novatel_oem615[[#This Row],[GPS_SECONDS]]+novatel_oem615[[#This Row],[GPS_FRAC_SECS]]</f>
        <v>206387103.42199999</v>
      </c>
      <c r="B101">
        <v>1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-2521000</v>
      </c>
      <c r="M101">
        <v>-6272000</v>
      </c>
      <c r="N101">
        <v>495200</v>
      </c>
      <c r="O101">
        <v>4101</v>
      </c>
      <c r="P101">
        <v>-1169</v>
      </c>
      <c r="Q101">
        <v>6016</v>
      </c>
      <c r="R101">
        <v>4.0257096289999996</v>
      </c>
      <c r="S101">
        <v>-112.0340271</v>
      </c>
      <c r="T101">
        <v>399978.8125</v>
      </c>
      <c r="AC101">
        <v>1</v>
      </c>
      <c r="AD101">
        <f t="shared" si="3"/>
        <v>0</v>
      </c>
      <c r="AE101">
        <f t="shared" si="4"/>
        <v>3</v>
      </c>
      <c r="AF101">
        <f t="shared" si="5"/>
        <v>0</v>
      </c>
      <c r="AG101">
        <v>0</v>
      </c>
      <c r="AH101">
        <v>0</v>
      </c>
      <c r="AI101">
        <v>0</v>
      </c>
    </row>
    <row r="102" spans="1:35" x14ac:dyDescent="0.25">
      <c r="A102">
        <f>novatel_oem615[[#This Row],[GPS_WEEKS]]*604800+novatel_oem615[[#This Row],[GPS_SECONDS]]+novatel_oem615[[#This Row],[GPS_FRAC_SECS]]</f>
        <v>206387103.42199999</v>
      </c>
      <c r="B102">
        <v>1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-2521000</v>
      </c>
      <c r="M102">
        <v>-6272000</v>
      </c>
      <c r="N102">
        <v>495200</v>
      </c>
      <c r="O102">
        <v>4101</v>
      </c>
      <c r="P102">
        <v>-1169</v>
      </c>
      <c r="Q102">
        <v>6016</v>
      </c>
      <c r="R102">
        <v>4.0257096289999996</v>
      </c>
      <c r="S102">
        <v>-112.0340271</v>
      </c>
      <c r="T102">
        <v>399978.8125</v>
      </c>
      <c r="AC102">
        <v>1</v>
      </c>
      <c r="AD102">
        <f t="shared" si="3"/>
        <v>0</v>
      </c>
      <c r="AE102">
        <f t="shared" si="4"/>
        <v>3</v>
      </c>
      <c r="AF102">
        <f t="shared" si="5"/>
        <v>0</v>
      </c>
      <c r="AG102">
        <v>0</v>
      </c>
      <c r="AH102">
        <v>0</v>
      </c>
      <c r="AI102">
        <v>0</v>
      </c>
    </row>
    <row r="103" spans="1:35" x14ac:dyDescent="0.25">
      <c r="A103">
        <f>novatel_oem615[[#This Row],[GPS_WEEKS]]*604800+novatel_oem615[[#This Row],[GPS_SECONDS]]+novatel_oem615[[#This Row],[GPS_FRAC_SECS]]</f>
        <v>206387103.42199999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-2521000</v>
      </c>
      <c r="M103">
        <v>-6272000</v>
      </c>
      <c r="N103">
        <v>495200</v>
      </c>
      <c r="O103">
        <v>4101</v>
      </c>
      <c r="P103">
        <v>-1169</v>
      </c>
      <c r="Q103">
        <v>6016</v>
      </c>
      <c r="R103">
        <v>4.0257096289999996</v>
      </c>
      <c r="S103">
        <v>-112.0340271</v>
      </c>
      <c r="T103">
        <v>399978.8125</v>
      </c>
      <c r="AC103">
        <v>1</v>
      </c>
      <c r="AD103">
        <f t="shared" si="3"/>
        <v>0</v>
      </c>
      <c r="AE103">
        <f t="shared" si="4"/>
        <v>3</v>
      </c>
      <c r="AF103">
        <f t="shared" si="5"/>
        <v>0</v>
      </c>
      <c r="AG103">
        <v>0</v>
      </c>
      <c r="AH103">
        <v>0</v>
      </c>
      <c r="AI103">
        <v>0</v>
      </c>
    </row>
    <row r="104" spans="1:35" x14ac:dyDescent="0.25">
      <c r="A104">
        <f>novatel_oem615[[#This Row],[GPS_WEEKS]]*604800+novatel_oem615[[#This Row],[GPS_SECONDS]]+novatel_oem615[[#This Row],[GPS_FRAC_SECS]]</f>
        <v>206387103.42199999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L104">
        <v>-2521000</v>
      </c>
      <c r="M104">
        <v>-6272000</v>
      </c>
      <c r="N104">
        <v>495200</v>
      </c>
      <c r="O104">
        <v>4101</v>
      </c>
      <c r="P104">
        <v>-1169</v>
      </c>
      <c r="Q104">
        <v>6016</v>
      </c>
      <c r="R104">
        <v>4.0257096289999996</v>
      </c>
      <c r="S104">
        <v>-112.0340271</v>
      </c>
      <c r="T104">
        <v>399978.8125</v>
      </c>
      <c r="AC104">
        <v>1</v>
      </c>
      <c r="AD104">
        <f t="shared" si="3"/>
        <v>0</v>
      </c>
      <c r="AE104">
        <f t="shared" si="4"/>
        <v>3</v>
      </c>
      <c r="AF104">
        <f t="shared" si="5"/>
        <v>0</v>
      </c>
      <c r="AG104">
        <v>0</v>
      </c>
      <c r="AH104">
        <v>0</v>
      </c>
      <c r="AI104">
        <v>0</v>
      </c>
    </row>
    <row r="105" spans="1:35" x14ac:dyDescent="0.25">
      <c r="A105">
        <f>novatel_oem615[[#This Row],[GPS_WEEKS]]*604800+novatel_oem615[[#This Row],[GPS_SECONDS]]+novatel_oem615[[#This Row],[GPS_FRAC_SECS]]</f>
        <v>206387103.42199999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-2521000</v>
      </c>
      <c r="M105">
        <v>-6272000</v>
      </c>
      <c r="N105">
        <v>495200</v>
      </c>
      <c r="O105">
        <v>4101</v>
      </c>
      <c r="P105">
        <v>-1169</v>
      </c>
      <c r="Q105">
        <v>6016</v>
      </c>
      <c r="R105">
        <v>4.0257096289999996</v>
      </c>
      <c r="S105">
        <v>-112.0340271</v>
      </c>
      <c r="T105">
        <v>399978.8125</v>
      </c>
      <c r="AC105">
        <v>1</v>
      </c>
      <c r="AD105">
        <f t="shared" si="3"/>
        <v>0</v>
      </c>
      <c r="AE105">
        <f t="shared" si="4"/>
        <v>3</v>
      </c>
      <c r="AF105">
        <f t="shared" si="5"/>
        <v>0</v>
      </c>
      <c r="AG105">
        <v>0</v>
      </c>
      <c r="AH105">
        <v>0</v>
      </c>
      <c r="AI105">
        <v>0</v>
      </c>
    </row>
    <row r="106" spans="1:35" x14ac:dyDescent="0.25">
      <c r="A106">
        <f>novatel_oem615[[#This Row],[GPS_WEEKS]]*604800+novatel_oem615[[#This Row],[GPS_SECONDS]]+novatel_oem615[[#This Row],[GPS_FRAC_SECS]]</f>
        <v>206387103.42199999</v>
      </c>
      <c r="B106">
        <v>1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-2521000</v>
      </c>
      <c r="M106">
        <v>-6272000</v>
      </c>
      <c r="N106">
        <v>495200</v>
      </c>
      <c r="O106">
        <v>4101</v>
      </c>
      <c r="P106">
        <v>-1169</v>
      </c>
      <c r="Q106">
        <v>6016</v>
      </c>
      <c r="R106">
        <v>4.0257096289999996</v>
      </c>
      <c r="S106">
        <v>-112.0340271</v>
      </c>
      <c r="T106">
        <v>399978.8125</v>
      </c>
      <c r="AC106">
        <v>1</v>
      </c>
      <c r="AD106">
        <f t="shared" si="3"/>
        <v>0</v>
      </c>
      <c r="AE106">
        <f t="shared" si="4"/>
        <v>3</v>
      </c>
      <c r="AF106">
        <f t="shared" si="5"/>
        <v>0</v>
      </c>
      <c r="AG106">
        <v>0</v>
      </c>
      <c r="AH106">
        <v>0</v>
      </c>
      <c r="AI106">
        <v>0</v>
      </c>
    </row>
    <row r="107" spans="1:35" x14ac:dyDescent="0.25">
      <c r="A107">
        <f>novatel_oem615[[#This Row],[GPS_WEEKS]]*604800+novatel_oem615[[#This Row],[GPS_SECONDS]]+novatel_oem615[[#This Row],[GPS_FRAC_SECS]]</f>
        <v>206387103.42199999</v>
      </c>
      <c r="B107">
        <v>1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L107">
        <v>-2521000</v>
      </c>
      <c r="M107">
        <v>-6272000</v>
      </c>
      <c r="N107">
        <v>495200</v>
      </c>
      <c r="O107">
        <v>4101</v>
      </c>
      <c r="P107">
        <v>-1169</v>
      </c>
      <c r="Q107">
        <v>6016</v>
      </c>
      <c r="R107">
        <v>4.0257096289999996</v>
      </c>
      <c r="S107">
        <v>-112.0340271</v>
      </c>
      <c r="T107">
        <v>399978.8125</v>
      </c>
      <c r="AC107">
        <v>1</v>
      </c>
      <c r="AD107">
        <f t="shared" si="3"/>
        <v>0</v>
      </c>
      <c r="AE107">
        <f t="shared" si="4"/>
        <v>3</v>
      </c>
      <c r="AF107">
        <f t="shared" si="5"/>
        <v>0</v>
      </c>
      <c r="AG107">
        <v>0</v>
      </c>
      <c r="AH107">
        <v>0</v>
      </c>
      <c r="AI107">
        <v>0</v>
      </c>
    </row>
    <row r="108" spans="1:35" x14ac:dyDescent="0.25">
      <c r="A108">
        <f>novatel_oem615[[#This Row],[GPS_WEEKS]]*604800+novatel_oem615[[#This Row],[GPS_SECONDS]]+novatel_oem615[[#This Row],[GPS_FRAC_SECS]]</f>
        <v>206387103.42199999</v>
      </c>
      <c r="B108">
        <v>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-2521000</v>
      </c>
      <c r="M108">
        <v>-6272000</v>
      </c>
      <c r="N108">
        <v>495200</v>
      </c>
      <c r="O108">
        <v>4101</v>
      </c>
      <c r="P108">
        <v>-1169</v>
      </c>
      <c r="Q108">
        <v>6016</v>
      </c>
      <c r="R108">
        <v>4.0257096289999996</v>
      </c>
      <c r="S108">
        <v>-112.0340271</v>
      </c>
      <c r="T108">
        <v>399978.8125</v>
      </c>
      <c r="AC108">
        <v>1</v>
      </c>
      <c r="AD108">
        <f t="shared" si="3"/>
        <v>0</v>
      </c>
      <c r="AE108">
        <f t="shared" si="4"/>
        <v>3</v>
      </c>
      <c r="AF108">
        <f t="shared" si="5"/>
        <v>0</v>
      </c>
      <c r="AG108">
        <v>0</v>
      </c>
      <c r="AH108">
        <v>0</v>
      </c>
      <c r="AI108">
        <v>0</v>
      </c>
    </row>
    <row r="109" spans="1:35" x14ac:dyDescent="0.25">
      <c r="A109">
        <f>novatel_oem615[[#This Row],[GPS_WEEKS]]*604800+novatel_oem615[[#This Row],[GPS_SECONDS]]+novatel_oem615[[#This Row],[GPS_FRAC_SECS]]</f>
        <v>206387103.42199999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L109">
        <v>-2521000</v>
      </c>
      <c r="M109">
        <v>-6272000</v>
      </c>
      <c r="N109">
        <v>495200</v>
      </c>
      <c r="O109">
        <v>4101</v>
      </c>
      <c r="P109">
        <v>-1169</v>
      </c>
      <c r="Q109">
        <v>6016</v>
      </c>
      <c r="R109">
        <v>4.0257096289999996</v>
      </c>
      <c r="S109">
        <v>-112.0340271</v>
      </c>
      <c r="T109">
        <v>399978.8125</v>
      </c>
      <c r="AC109">
        <v>1</v>
      </c>
      <c r="AD109">
        <f t="shared" si="3"/>
        <v>0</v>
      </c>
      <c r="AE109">
        <f t="shared" si="4"/>
        <v>3</v>
      </c>
      <c r="AF109">
        <f t="shared" si="5"/>
        <v>0</v>
      </c>
      <c r="AG109">
        <v>0</v>
      </c>
      <c r="AH109">
        <v>0</v>
      </c>
      <c r="AI109">
        <v>0</v>
      </c>
    </row>
    <row r="110" spans="1:35" x14ac:dyDescent="0.25">
      <c r="A110">
        <f>novatel_oem615[[#This Row],[GPS_WEEKS]]*604800+novatel_oem615[[#This Row],[GPS_SECONDS]]+novatel_oem615[[#This Row],[GPS_FRAC_SECS]]</f>
        <v>206387103.42199999</v>
      </c>
      <c r="B110">
        <v>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v>-2521000</v>
      </c>
      <c r="M110">
        <v>-6272000</v>
      </c>
      <c r="N110">
        <v>495200</v>
      </c>
      <c r="O110">
        <v>4101</v>
      </c>
      <c r="P110">
        <v>-1169</v>
      </c>
      <c r="Q110">
        <v>6016</v>
      </c>
      <c r="R110">
        <v>4.0257096289999996</v>
      </c>
      <c r="S110">
        <v>-112.0340271</v>
      </c>
      <c r="T110">
        <v>399978.8125</v>
      </c>
      <c r="AC110">
        <v>1</v>
      </c>
      <c r="AD110">
        <f t="shared" si="3"/>
        <v>0</v>
      </c>
      <c r="AE110">
        <f t="shared" si="4"/>
        <v>3</v>
      </c>
      <c r="AF110">
        <f t="shared" si="5"/>
        <v>0</v>
      </c>
      <c r="AG110">
        <v>0</v>
      </c>
      <c r="AH110">
        <v>0</v>
      </c>
      <c r="AI110">
        <v>0</v>
      </c>
    </row>
    <row r="111" spans="1:35" x14ac:dyDescent="0.25">
      <c r="A111">
        <f>novatel_oem615[[#This Row],[GPS_WEEKS]]*604800+novatel_oem615[[#This Row],[GPS_SECONDS]]+novatel_oem615[[#This Row],[GPS_FRAC_SECS]]</f>
        <v>206387103.42199999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>
        <v>-2521000</v>
      </c>
      <c r="M111">
        <v>-6272000</v>
      </c>
      <c r="N111">
        <v>495200</v>
      </c>
      <c r="O111">
        <v>4101</v>
      </c>
      <c r="P111">
        <v>-1169</v>
      </c>
      <c r="Q111">
        <v>6016</v>
      </c>
      <c r="R111">
        <v>4.0257096289999996</v>
      </c>
      <c r="S111">
        <v>-112.0340271</v>
      </c>
      <c r="T111">
        <v>399978.8125</v>
      </c>
      <c r="AC111">
        <v>1</v>
      </c>
      <c r="AD111">
        <f t="shared" si="3"/>
        <v>0</v>
      </c>
      <c r="AE111">
        <f t="shared" si="4"/>
        <v>3</v>
      </c>
      <c r="AF111">
        <f t="shared" si="5"/>
        <v>0</v>
      </c>
      <c r="AG111">
        <v>0</v>
      </c>
      <c r="AH111">
        <v>0</v>
      </c>
      <c r="AI111">
        <v>0</v>
      </c>
    </row>
    <row r="112" spans="1:35" x14ac:dyDescent="0.25">
      <c r="A112">
        <f>novatel_oem615[[#This Row],[GPS_WEEKS]]*604800+novatel_oem615[[#This Row],[GPS_SECONDS]]+novatel_oem615[[#This Row],[GPS_FRAC_SECS]]</f>
        <v>206387103.42199999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-2521000</v>
      </c>
      <c r="M112">
        <v>-6272000</v>
      </c>
      <c r="N112">
        <v>495200</v>
      </c>
      <c r="O112">
        <v>4101</v>
      </c>
      <c r="P112">
        <v>-1169</v>
      </c>
      <c r="Q112">
        <v>6016</v>
      </c>
      <c r="R112">
        <v>4.0257096289999996</v>
      </c>
      <c r="S112">
        <v>-112.0340271</v>
      </c>
      <c r="T112">
        <v>399978.8125</v>
      </c>
      <c r="AC112">
        <v>1</v>
      </c>
      <c r="AD112">
        <f t="shared" si="3"/>
        <v>0</v>
      </c>
      <c r="AE112">
        <f t="shared" si="4"/>
        <v>3</v>
      </c>
      <c r="AF112">
        <f t="shared" si="5"/>
        <v>0</v>
      </c>
      <c r="AG112">
        <v>0</v>
      </c>
      <c r="AH112">
        <v>0</v>
      </c>
      <c r="AI112">
        <v>0</v>
      </c>
    </row>
    <row r="113" spans="1:35" x14ac:dyDescent="0.25">
      <c r="A113">
        <f>novatel_oem615[[#This Row],[GPS_WEEKS]]*604800+novatel_oem615[[#This Row],[GPS_SECONDS]]+novatel_oem615[[#This Row],[GPS_FRAC_SECS]]</f>
        <v>206387103.42199999</v>
      </c>
      <c r="B113">
        <v>1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-2521000</v>
      </c>
      <c r="M113">
        <v>-6272000</v>
      </c>
      <c r="N113">
        <v>495200</v>
      </c>
      <c r="O113">
        <v>4101</v>
      </c>
      <c r="P113">
        <v>-1169</v>
      </c>
      <c r="Q113">
        <v>6016</v>
      </c>
      <c r="R113">
        <v>4.0257096289999996</v>
      </c>
      <c r="S113">
        <v>-112.0340271</v>
      </c>
      <c r="T113">
        <v>399978.8125</v>
      </c>
      <c r="AC113">
        <v>1</v>
      </c>
      <c r="AD113">
        <f t="shared" si="3"/>
        <v>0</v>
      </c>
      <c r="AE113">
        <f t="shared" si="4"/>
        <v>3</v>
      </c>
      <c r="AF113">
        <f t="shared" si="5"/>
        <v>0</v>
      </c>
      <c r="AG113">
        <v>0</v>
      </c>
      <c r="AH113">
        <v>0</v>
      </c>
      <c r="AI113">
        <v>0</v>
      </c>
    </row>
    <row r="114" spans="1:35" x14ac:dyDescent="0.25">
      <c r="A114">
        <f>novatel_oem615[[#This Row],[GPS_WEEKS]]*604800+novatel_oem615[[#This Row],[GPS_SECONDS]]+novatel_oem615[[#This Row],[GPS_FRAC_SECS]]</f>
        <v>206387103.42199999</v>
      </c>
      <c r="B114">
        <v>1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L114">
        <v>-2521000</v>
      </c>
      <c r="M114">
        <v>-6272000</v>
      </c>
      <c r="N114">
        <v>495200</v>
      </c>
      <c r="O114">
        <v>4101</v>
      </c>
      <c r="P114">
        <v>-1169</v>
      </c>
      <c r="Q114">
        <v>6016</v>
      </c>
      <c r="R114">
        <v>4.0257096289999996</v>
      </c>
      <c r="S114">
        <v>-112.0340271</v>
      </c>
      <c r="T114">
        <v>399978.8125</v>
      </c>
      <c r="AC114">
        <v>1</v>
      </c>
      <c r="AD114">
        <f t="shared" si="3"/>
        <v>0</v>
      </c>
      <c r="AE114">
        <f t="shared" si="4"/>
        <v>3</v>
      </c>
      <c r="AF114">
        <f t="shared" si="5"/>
        <v>0</v>
      </c>
      <c r="AG114">
        <v>0</v>
      </c>
      <c r="AH114">
        <v>0</v>
      </c>
      <c r="AI114">
        <v>0</v>
      </c>
    </row>
    <row r="115" spans="1:35" x14ac:dyDescent="0.25">
      <c r="A115">
        <f>novatel_oem615[[#This Row],[GPS_WEEKS]]*604800+novatel_oem615[[#This Row],[GPS_SECONDS]]+novatel_oem615[[#This Row],[GPS_FRAC_SECS]]</f>
        <v>206387103.42199999</v>
      </c>
      <c r="B115">
        <v>1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L115">
        <v>-2521000</v>
      </c>
      <c r="M115">
        <v>-6272000</v>
      </c>
      <c r="N115">
        <v>495200</v>
      </c>
      <c r="O115">
        <v>4101</v>
      </c>
      <c r="P115">
        <v>-1169</v>
      </c>
      <c r="Q115">
        <v>6016</v>
      </c>
      <c r="R115">
        <v>4.0257096289999996</v>
      </c>
      <c r="S115">
        <v>-112.0340271</v>
      </c>
      <c r="T115">
        <v>399978.8125</v>
      </c>
      <c r="AC115">
        <v>1</v>
      </c>
      <c r="AD115">
        <f t="shared" si="3"/>
        <v>0</v>
      </c>
      <c r="AE115">
        <f t="shared" si="4"/>
        <v>3</v>
      </c>
      <c r="AF115">
        <f t="shared" si="5"/>
        <v>0</v>
      </c>
      <c r="AG115">
        <v>0</v>
      </c>
      <c r="AH115">
        <v>0</v>
      </c>
      <c r="AI115">
        <v>0</v>
      </c>
    </row>
    <row r="116" spans="1:35" x14ac:dyDescent="0.25">
      <c r="A116">
        <f>novatel_oem615[[#This Row],[GPS_WEEKS]]*604800+novatel_oem615[[#This Row],[GPS_SECONDS]]+novatel_oem615[[#This Row],[GPS_FRAC_SECS]]</f>
        <v>206387103.42199999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L116">
        <v>-2521000</v>
      </c>
      <c r="M116">
        <v>-6272000</v>
      </c>
      <c r="N116">
        <v>495200</v>
      </c>
      <c r="O116">
        <v>4101</v>
      </c>
      <c r="P116">
        <v>-1169</v>
      </c>
      <c r="Q116">
        <v>6016</v>
      </c>
      <c r="R116">
        <v>4.0257096289999996</v>
      </c>
      <c r="S116">
        <v>-112.0340271</v>
      </c>
      <c r="T116">
        <v>399978.8125</v>
      </c>
      <c r="AC116">
        <v>1</v>
      </c>
      <c r="AD116">
        <f t="shared" si="3"/>
        <v>0</v>
      </c>
      <c r="AE116">
        <f t="shared" si="4"/>
        <v>3</v>
      </c>
      <c r="AF116">
        <f t="shared" si="5"/>
        <v>0</v>
      </c>
      <c r="AG116">
        <v>0</v>
      </c>
      <c r="AH116">
        <v>0</v>
      </c>
      <c r="AI116">
        <v>0</v>
      </c>
    </row>
    <row r="117" spans="1:35" x14ac:dyDescent="0.25">
      <c r="A117">
        <f>novatel_oem615[[#This Row],[GPS_WEEKS]]*604800+novatel_oem615[[#This Row],[GPS_SECONDS]]+novatel_oem615[[#This Row],[GPS_FRAC_SECS]]</f>
        <v>206387103.42199999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L117">
        <v>-2521000</v>
      </c>
      <c r="M117">
        <v>-6272000</v>
      </c>
      <c r="N117">
        <v>495200</v>
      </c>
      <c r="O117">
        <v>4101</v>
      </c>
      <c r="P117">
        <v>-1169</v>
      </c>
      <c r="Q117">
        <v>6016</v>
      </c>
      <c r="R117">
        <v>4.0257096289999996</v>
      </c>
      <c r="S117">
        <v>-112.0340271</v>
      </c>
      <c r="T117">
        <v>399978.8125</v>
      </c>
      <c r="AC117">
        <v>1</v>
      </c>
      <c r="AD117">
        <f t="shared" si="3"/>
        <v>0</v>
      </c>
      <c r="AE117">
        <f t="shared" si="4"/>
        <v>3</v>
      </c>
      <c r="AF117">
        <f t="shared" si="5"/>
        <v>0</v>
      </c>
      <c r="AG117">
        <v>0</v>
      </c>
      <c r="AH117">
        <v>0</v>
      </c>
      <c r="AI117">
        <v>0</v>
      </c>
    </row>
    <row r="118" spans="1:35" x14ac:dyDescent="0.25">
      <c r="A118">
        <f>novatel_oem615[[#This Row],[GPS_WEEKS]]*604800+novatel_oem615[[#This Row],[GPS_SECONDS]]+novatel_oem615[[#This Row],[GPS_FRAC_SECS]]</f>
        <v>206387103.42199999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-2521000</v>
      </c>
      <c r="M118">
        <v>-6272000</v>
      </c>
      <c r="N118">
        <v>495200</v>
      </c>
      <c r="O118">
        <v>4101</v>
      </c>
      <c r="P118">
        <v>-1169</v>
      </c>
      <c r="Q118">
        <v>6016</v>
      </c>
      <c r="R118">
        <v>4.0257096289999996</v>
      </c>
      <c r="S118">
        <v>-112.0340271</v>
      </c>
      <c r="T118">
        <v>399978.8125</v>
      </c>
      <c r="AC118">
        <v>1</v>
      </c>
      <c r="AD118">
        <f t="shared" si="3"/>
        <v>0</v>
      </c>
      <c r="AE118">
        <f t="shared" si="4"/>
        <v>3</v>
      </c>
      <c r="AF118">
        <f t="shared" si="5"/>
        <v>0</v>
      </c>
      <c r="AG118">
        <v>0</v>
      </c>
      <c r="AH118">
        <v>0</v>
      </c>
      <c r="AI118">
        <v>0</v>
      </c>
    </row>
    <row r="119" spans="1:35" x14ac:dyDescent="0.25">
      <c r="A119">
        <f>novatel_oem615[[#This Row],[GPS_WEEKS]]*604800+novatel_oem615[[#This Row],[GPS_SECONDS]]+novatel_oem615[[#This Row],[GPS_FRAC_SECS]]</f>
        <v>206387103.42199999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L119">
        <v>-2521000</v>
      </c>
      <c r="M119">
        <v>-6272000</v>
      </c>
      <c r="N119">
        <v>495200</v>
      </c>
      <c r="O119">
        <v>4101</v>
      </c>
      <c r="P119">
        <v>-1169</v>
      </c>
      <c r="Q119">
        <v>6016</v>
      </c>
      <c r="R119">
        <v>4.0257096289999996</v>
      </c>
      <c r="S119">
        <v>-112.0340271</v>
      </c>
      <c r="T119">
        <v>399978.8125</v>
      </c>
      <c r="AC119">
        <v>1</v>
      </c>
      <c r="AD119">
        <f t="shared" si="3"/>
        <v>0</v>
      </c>
      <c r="AE119">
        <f t="shared" si="4"/>
        <v>3</v>
      </c>
      <c r="AF119">
        <f t="shared" si="5"/>
        <v>0</v>
      </c>
      <c r="AG119">
        <v>0</v>
      </c>
      <c r="AH119">
        <v>0</v>
      </c>
      <c r="AI119">
        <v>0</v>
      </c>
    </row>
    <row r="120" spans="1:35" x14ac:dyDescent="0.25">
      <c r="A120">
        <f>novatel_oem615[[#This Row],[GPS_WEEKS]]*604800+novatel_oem615[[#This Row],[GPS_SECONDS]]+novatel_oem615[[#This Row],[GPS_FRAC_SECS]]</f>
        <v>206387103.42199999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L120">
        <v>-2521000</v>
      </c>
      <c r="M120">
        <v>-6272000</v>
      </c>
      <c r="N120">
        <v>495200</v>
      </c>
      <c r="O120">
        <v>4101</v>
      </c>
      <c r="P120">
        <v>-1169</v>
      </c>
      <c r="Q120">
        <v>6016</v>
      </c>
      <c r="R120">
        <v>4.0257096289999996</v>
      </c>
      <c r="S120">
        <v>-112.0340271</v>
      </c>
      <c r="T120">
        <v>399978.8125</v>
      </c>
      <c r="AC120">
        <v>1</v>
      </c>
      <c r="AD120">
        <f t="shared" si="3"/>
        <v>0</v>
      </c>
      <c r="AE120">
        <f t="shared" si="4"/>
        <v>3</v>
      </c>
      <c r="AF120">
        <f t="shared" si="5"/>
        <v>0</v>
      </c>
      <c r="AG120">
        <v>0</v>
      </c>
      <c r="AH120">
        <v>0</v>
      </c>
      <c r="AI120">
        <v>0</v>
      </c>
    </row>
    <row r="121" spans="1:35" x14ac:dyDescent="0.25">
      <c r="A121">
        <f>novatel_oem615[[#This Row],[GPS_WEEKS]]*604800+novatel_oem615[[#This Row],[GPS_SECONDS]]+novatel_oem615[[#This Row],[GPS_FRAC_SECS]]</f>
        <v>206387103.42199999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>
        <v>-2521000</v>
      </c>
      <c r="M121">
        <v>-6272000</v>
      </c>
      <c r="N121">
        <v>495200</v>
      </c>
      <c r="O121">
        <v>4101</v>
      </c>
      <c r="P121">
        <v>-1169</v>
      </c>
      <c r="Q121">
        <v>6016</v>
      </c>
      <c r="R121">
        <v>4.0257096289999996</v>
      </c>
      <c r="S121">
        <v>-112.0340271</v>
      </c>
      <c r="T121">
        <v>399978.8125</v>
      </c>
      <c r="AC121">
        <v>1</v>
      </c>
      <c r="AD121">
        <f t="shared" si="3"/>
        <v>0</v>
      </c>
      <c r="AE121">
        <f t="shared" si="4"/>
        <v>3</v>
      </c>
      <c r="AF121">
        <f t="shared" si="5"/>
        <v>0</v>
      </c>
      <c r="AG121">
        <v>0</v>
      </c>
      <c r="AH121">
        <v>0</v>
      </c>
      <c r="AI121">
        <v>0</v>
      </c>
    </row>
    <row r="122" spans="1:35" x14ac:dyDescent="0.25">
      <c r="A122">
        <f>novatel_oem615[[#This Row],[GPS_WEEKS]]*604800+novatel_oem615[[#This Row],[GPS_SECONDS]]+novatel_oem615[[#This Row],[GPS_FRAC_SECS]]</f>
        <v>206387103.42199999</v>
      </c>
      <c r="B122">
        <v>1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-2521000</v>
      </c>
      <c r="M122">
        <v>-6272000</v>
      </c>
      <c r="N122">
        <v>495200</v>
      </c>
      <c r="O122">
        <v>4101</v>
      </c>
      <c r="P122">
        <v>-1169</v>
      </c>
      <c r="Q122">
        <v>6016</v>
      </c>
      <c r="R122">
        <v>4.0257096289999996</v>
      </c>
      <c r="S122">
        <v>-112.0340271</v>
      </c>
      <c r="T122">
        <v>399978.8125</v>
      </c>
      <c r="AC122">
        <v>1</v>
      </c>
      <c r="AD122">
        <f t="shared" si="3"/>
        <v>0</v>
      </c>
      <c r="AE122">
        <f t="shared" si="4"/>
        <v>3</v>
      </c>
      <c r="AF122">
        <f t="shared" si="5"/>
        <v>0</v>
      </c>
      <c r="AG122">
        <v>0</v>
      </c>
      <c r="AH122">
        <v>0</v>
      </c>
      <c r="AI122">
        <v>0</v>
      </c>
    </row>
    <row r="123" spans="1:35" x14ac:dyDescent="0.25">
      <c r="A123">
        <f>novatel_oem615[[#This Row],[GPS_WEEKS]]*604800+novatel_oem615[[#This Row],[GPS_SECONDS]]+novatel_oem615[[#This Row],[GPS_FRAC_SECS]]</f>
        <v>206387103.42199999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-2521000</v>
      </c>
      <c r="M123">
        <v>-6272000</v>
      </c>
      <c r="N123">
        <v>495200</v>
      </c>
      <c r="O123">
        <v>4101</v>
      </c>
      <c r="P123">
        <v>-1169</v>
      </c>
      <c r="Q123">
        <v>6016</v>
      </c>
      <c r="R123">
        <v>4.0257096289999996</v>
      </c>
      <c r="S123">
        <v>-112.0340271</v>
      </c>
      <c r="T123">
        <v>399978.8125</v>
      </c>
      <c r="AC123">
        <v>1</v>
      </c>
      <c r="AD123">
        <f t="shared" si="3"/>
        <v>0</v>
      </c>
      <c r="AE123">
        <f t="shared" si="4"/>
        <v>3</v>
      </c>
      <c r="AF123">
        <f t="shared" si="5"/>
        <v>0</v>
      </c>
      <c r="AG123">
        <v>0</v>
      </c>
      <c r="AH123">
        <v>0</v>
      </c>
      <c r="AI123">
        <v>0</v>
      </c>
    </row>
    <row r="124" spans="1:35" x14ac:dyDescent="0.25">
      <c r="A124">
        <f>novatel_oem615[[#This Row],[GPS_WEEKS]]*604800+novatel_oem615[[#This Row],[GPS_SECONDS]]+novatel_oem615[[#This Row],[GPS_FRAC_SECS]]</f>
        <v>206387103.42199999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L124">
        <v>-2521000</v>
      </c>
      <c r="M124">
        <v>-6272000</v>
      </c>
      <c r="N124">
        <v>495200</v>
      </c>
      <c r="O124">
        <v>4101</v>
      </c>
      <c r="P124">
        <v>-1169</v>
      </c>
      <c r="Q124">
        <v>6016</v>
      </c>
      <c r="R124">
        <v>4.0257096289999996</v>
      </c>
      <c r="S124">
        <v>-112.0340271</v>
      </c>
      <c r="T124">
        <v>399978.8125</v>
      </c>
      <c r="AC124">
        <v>1</v>
      </c>
      <c r="AD124">
        <f t="shared" si="3"/>
        <v>0</v>
      </c>
      <c r="AE124">
        <f t="shared" si="4"/>
        <v>3</v>
      </c>
      <c r="AF124">
        <f t="shared" si="5"/>
        <v>0</v>
      </c>
      <c r="AG124">
        <v>0</v>
      </c>
      <c r="AH124">
        <v>0</v>
      </c>
      <c r="AI124">
        <v>0</v>
      </c>
    </row>
    <row r="125" spans="1:35" x14ac:dyDescent="0.25">
      <c r="A125">
        <f>novatel_oem615[[#This Row],[GPS_WEEKS]]*604800+novatel_oem615[[#This Row],[GPS_SECONDS]]+novatel_oem615[[#This Row],[GPS_FRAC_SECS]]</f>
        <v>206387103.42199999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L125">
        <v>-2521000</v>
      </c>
      <c r="M125">
        <v>-6272000</v>
      </c>
      <c r="N125">
        <v>495200</v>
      </c>
      <c r="O125">
        <v>4101</v>
      </c>
      <c r="P125">
        <v>-1169</v>
      </c>
      <c r="Q125">
        <v>6016</v>
      </c>
      <c r="R125">
        <v>4.0257096289999996</v>
      </c>
      <c r="S125">
        <v>-112.0340271</v>
      </c>
      <c r="T125">
        <v>399978.8125</v>
      </c>
      <c r="AC125">
        <v>1</v>
      </c>
      <c r="AD125">
        <f t="shared" si="3"/>
        <v>0</v>
      </c>
      <c r="AE125">
        <f t="shared" si="4"/>
        <v>3</v>
      </c>
      <c r="AF125">
        <f t="shared" si="5"/>
        <v>0</v>
      </c>
      <c r="AG125">
        <v>0</v>
      </c>
      <c r="AH125">
        <v>0</v>
      </c>
      <c r="AI125">
        <v>0</v>
      </c>
    </row>
    <row r="126" spans="1:35" x14ac:dyDescent="0.25">
      <c r="A126">
        <f>novatel_oem615[[#This Row],[GPS_WEEKS]]*604800+novatel_oem615[[#This Row],[GPS_SECONDS]]+novatel_oem615[[#This Row],[GPS_FRAC_SECS]]</f>
        <v>206387103.42199999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L126">
        <v>-2521000</v>
      </c>
      <c r="M126">
        <v>-6272000</v>
      </c>
      <c r="N126">
        <v>495200</v>
      </c>
      <c r="O126">
        <v>4101</v>
      </c>
      <c r="P126">
        <v>-1169</v>
      </c>
      <c r="Q126">
        <v>6016</v>
      </c>
      <c r="R126">
        <v>4.0257096289999996</v>
      </c>
      <c r="S126">
        <v>-112.0340271</v>
      </c>
      <c r="T126">
        <v>399978.8125</v>
      </c>
      <c r="AC126">
        <v>1</v>
      </c>
      <c r="AD126">
        <f t="shared" si="3"/>
        <v>0</v>
      </c>
      <c r="AE126">
        <f t="shared" si="4"/>
        <v>3</v>
      </c>
      <c r="AF126">
        <f t="shared" si="5"/>
        <v>0</v>
      </c>
      <c r="AG126">
        <v>0</v>
      </c>
      <c r="AH126">
        <v>0</v>
      </c>
      <c r="AI126">
        <v>0</v>
      </c>
    </row>
    <row r="127" spans="1:35" x14ac:dyDescent="0.25">
      <c r="A127">
        <f>novatel_oem615[[#This Row],[GPS_WEEKS]]*604800+novatel_oem615[[#This Row],[GPS_SECONDS]]+novatel_oem615[[#This Row],[GPS_FRAC_SECS]]</f>
        <v>206387103.42199999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L127">
        <v>-2521000</v>
      </c>
      <c r="M127">
        <v>-6272000</v>
      </c>
      <c r="N127">
        <v>495200</v>
      </c>
      <c r="O127">
        <v>4101</v>
      </c>
      <c r="P127">
        <v>-1169</v>
      </c>
      <c r="Q127">
        <v>6016</v>
      </c>
      <c r="R127">
        <v>4.0257096289999996</v>
      </c>
      <c r="S127">
        <v>-112.0340271</v>
      </c>
      <c r="T127">
        <v>399978.8125</v>
      </c>
      <c r="AC127">
        <v>1</v>
      </c>
      <c r="AD127">
        <f t="shared" si="3"/>
        <v>0</v>
      </c>
      <c r="AE127">
        <f t="shared" si="4"/>
        <v>3</v>
      </c>
      <c r="AF127">
        <f t="shared" si="5"/>
        <v>0</v>
      </c>
      <c r="AG127">
        <v>0</v>
      </c>
      <c r="AH127">
        <v>0</v>
      </c>
      <c r="AI127">
        <v>0</v>
      </c>
    </row>
    <row r="128" spans="1:35" x14ac:dyDescent="0.25">
      <c r="A128">
        <f>novatel_oem615[[#This Row],[GPS_WEEKS]]*604800+novatel_oem615[[#This Row],[GPS_SECONDS]]+novatel_oem615[[#This Row],[GPS_FRAC_SECS]]</f>
        <v>206387103.42199999</v>
      </c>
      <c r="B128">
        <v>1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L128">
        <v>-2521000</v>
      </c>
      <c r="M128">
        <v>-6272000</v>
      </c>
      <c r="N128">
        <v>495200</v>
      </c>
      <c r="O128">
        <v>4101</v>
      </c>
      <c r="P128">
        <v>-1169</v>
      </c>
      <c r="Q128">
        <v>6016</v>
      </c>
      <c r="R128">
        <v>4.0257096289999996</v>
      </c>
      <c r="S128">
        <v>-112.0340271</v>
      </c>
      <c r="T128">
        <v>399978.8125</v>
      </c>
      <c r="AC128">
        <v>1</v>
      </c>
      <c r="AD128">
        <f t="shared" si="3"/>
        <v>0</v>
      </c>
      <c r="AE128">
        <f t="shared" si="4"/>
        <v>3</v>
      </c>
      <c r="AF128">
        <f t="shared" si="5"/>
        <v>0</v>
      </c>
      <c r="AG128">
        <v>0</v>
      </c>
      <c r="AH128">
        <v>0</v>
      </c>
      <c r="AI128">
        <v>0</v>
      </c>
    </row>
    <row r="129" spans="1:35" x14ac:dyDescent="0.25">
      <c r="A129">
        <f>novatel_oem615[[#This Row],[GPS_WEEKS]]*604800+novatel_oem615[[#This Row],[GPS_SECONDS]]+novatel_oem615[[#This Row],[GPS_FRAC_SECS]]</f>
        <v>206387103.42199999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>
        <v>-2521000</v>
      </c>
      <c r="M129">
        <v>-6272000</v>
      </c>
      <c r="N129">
        <v>495200</v>
      </c>
      <c r="O129">
        <v>4101</v>
      </c>
      <c r="P129">
        <v>-1169</v>
      </c>
      <c r="Q129">
        <v>6016</v>
      </c>
      <c r="R129">
        <v>4.0257096289999996</v>
      </c>
      <c r="S129">
        <v>-112.0340271</v>
      </c>
      <c r="T129">
        <v>399978.8125</v>
      </c>
      <c r="AC129">
        <v>1</v>
      </c>
      <c r="AD129">
        <f t="shared" si="3"/>
        <v>0</v>
      </c>
      <c r="AE129">
        <f t="shared" si="4"/>
        <v>3</v>
      </c>
      <c r="AF129">
        <f t="shared" si="5"/>
        <v>0</v>
      </c>
      <c r="AG129">
        <v>0</v>
      </c>
      <c r="AH129">
        <v>0</v>
      </c>
      <c r="AI129">
        <v>0</v>
      </c>
    </row>
    <row r="130" spans="1:35" x14ac:dyDescent="0.25">
      <c r="A130">
        <f>novatel_oem615[[#This Row],[GPS_WEEKS]]*604800+novatel_oem615[[#This Row],[GPS_SECONDS]]+novatel_oem615[[#This Row],[GPS_FRAC_SECS]]</f>
        <v>206387103.42199999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L130">
        <v>-2521000</v>
      </c>
      <c r="M130">
        <v>-6272000</v>
      </c>
      <c r="N130">
        <v>495200</v>
      </c>
      <c r="O130">
        <v>4101</v>
      </c>
      <c r="P130">
        <v>-1169</v>
      </c>
      <c r="Q130">
        <v>6016</v>
      </c>
      <c r="R130">
        <v>4.0257096289999996</v>
      </c>
      <c r="S130">
        <v>-112.0340271</v>
      </c>
      <c r="T130">
        <v>399978.8125</v>
      </c>
      <c r="AC130">
        <v>1</v>
      </c>
      <c r="AD130">
        <f t="shared" si="3"/>
        <v>0</v>
      </c>
      <c r="AE130">
        <f t="shared" si="4"/>
        <v>3</v>
      </c>
      <c r="AF130">
        <f t="shared" si="5"/>
        <v>0</v>
      </c>
      <c r="AG130">
        <v>0</v>
      </c>
      <c r="AH130">
        <v>0</v>
      </c>
      <c r="AI130">
        <v>0</v>
      </c>
    </row>
    <row r="131" spans="1:35" x14ac:dyDescent="0.25">
      <c r="A131">
        <f>novatel_oem615[[#This Row],[GPS_WEEKS]]*604800+novatel_oem615[[#This Row],[GPS_SECONDS]]+novatel_oem615[[#This Row],[GPS_FRAC_SECS]]</f>
        <v>206387103.42199999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L131">
        <v>-2521000</v>
      </c>
      <c r="M131">
        <v>-6272000</v>
      </c>
      <c r="N131">
        <v>495200</v>
      </c>
      <c r="O131">
        <v>4101</v>
      </c>
      <c r="P131">
        <v>-1169</v>
      </c>
      <c r="Q131">
        <v>6016</v>
      </c>
      <c r="R131">
        <v>4.0257096289999996</v>
      </c>
      <c r="S131">
        <v>-112.0340271</v>
      </c>
      <c r="T131">
        <v>399978.8125</v>
      </c>
      <c r="AC131">
        <v>1</v>
      </c>
      <c r="AD131">
        <f t="shared" ref="AD131:AD194" si="6">2*C131</f>
        <v>0</v>
      </c>
      <c r="AE131">
        <f t="shared" ref="AE131:AE194" si="7">3*D131</f>
        <v>3</v>
      </c>
      <c r="AF131">
        <f t="shared" ref="AF131:AF194" si="8">4*E131</f>
        <v>0</v>
      </c>
      <c r="AG131">
        <v>0</v>
      </c>
      <c r="AH131">
        <v>0</v>
      </c>
      <c r="AI131">
        <v>0</v>
      </c>
    </row>
    <row r="132" spans="1:35" x14ac:dyDescent="0.25">
      <c r="A132">
        <f>novatel_oem615[[#This Row],[GPS_WEEKS]]*604800+novatel_oem615[[#This Row],[GPS_SECONDS]]+novatel_oem615[[#This Row],[GPS_FRAC_SECS]]</f>
        <v>206387103.42199999</v>
      </c>
      <c r="B132">
        <v>1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>
        <v>-2521000</v>
      </c>
      <c r="M132">
        <v>-6272000</v>
      </c>
      <c r="N132">
        <v>495200</v>
      </c>
      <c r="O132">
        <v>4101</v>
      </c>
      <c r="P132">
        <v>-1169</v>
      </c>
      <c r="Q132">
        <v>6016</v>
      </c>
      <c r="R132">
        <v>4.0257096289999996</v>
      </c>
      <c r="S132">
        <v>-112.0340271</v>
      </c>
      <c r="T132">
        <v>399978.8125</v>
      </c>
      <c r="AC132">
        <v>1</v>
      </c>
      <c r="AD132">
        <f t="shared" si="6"/>
        <v>0</v>
      </c>
      <c r="AE132">
        <f t="shared" si="7"/>
        <v>3</v>
      </c>
      <c r="AF132">
        <f t="shared" si="8"/>
        <v>0</v>
      </c>
      <c r="AG132">
        <v>0</v>
      </c>
      <c r="AH132">
        <v>0</v>
      </c>
      <c r="AI132">
        <v>0</v>
      </c>
    </row>
    <row r="133" spans="1:35" x14ac:dyDescent="0.25">
      <c r="A133">
        <f>novatel_oem615[[#This Row],[GPS_WEEKS]]*604800+novatel_oem615[[#This Row],[GPS_SECONDS]]+novatel_oem615[[#This Row],[GPS_FRAC_SECS]]</f>
        <v>206387103.42199999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-2521000</v>
      </c>
      <c r="M133">
        <v>-6272000</v>
      </c>
      <c r="N133">
        <v>495200</v>
      </c>
      <c r="O133">
        <v>4101</v>
      </c>
      <c r="P133">
        <v>-1169</v>
      </c>
      <c r="Q133">
        <v>6016</v>
      </c>
      <c r="R133">
        <v>4.0257096289999996</v>
      </c>
      <c r="S133">
        <v>-112.0340271</v>
      </c>
      <c r="T133">
        <v>399978.8125</v>
      </c>
      <c r="AC133">
        <v>1</v>
      </c>
      <c r="AD133">
        <f t="shared" si="6"/>
        <v>0</v>
      </c>
      <c r="AE133">
        <f t="shared" si="7"/>
        <v>3</v>
      </c>
      <c r="AF133">
        <f t="shared" si="8"/>
        <v>0</v>
      </c>
      <c r="AG133">
        <v>0</v>
      </c>
      <c r="AH133">
        <v>0</v>
      </c>
      <c r="AI133">
        <v>0</v>
      </c>
    </row>
    <row r="134" spans="1:35" x14ac:dyDescent="0.25">
      <c r="A134">
        <f>novatel_oem615[[#This Row],[GPS_WEEKS]]*604800+novatel_oem615[[#This Row],[GPS_SECONDS]]+novatel_oem615[[#This Row],[GPS_FRAC_SECS]]</f>
        <v>206387103.42199999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>
        <v>-2521000</v>
      </c>
      <c r="M134">
        <v>-6272000</v>
      </c>
      <c r="N134">
        <v>495200</v>
      </c>
      <c r="O134">
        <v>4101</v>
      </c>
      <c r="P134">
        <v>-1169</v>
      </c>
      <c r="Q134">
        <v>6016</v>
      </c>
      <c r="R134">
        <v>4.0257096289999996</v>
      </c>
      <c r="S134">
        <v>-112.0340271</v>
      </c>
      <c r="T134">
        <v>399978.8125</v>
      </c>
      <c r="AC134">
        <v>1</v>
      </c>
      <c r="AD134">
        <f t="shared" si="6"/>
        <v>0</v>
      </c>
      <c r="AE134">
        <f t="shared" si="7"/>
        <v>3</v>
      </c>
      <c r="AF134">
        <f t="shared" si="8"/>
        <v>0</v>
      </c>
      <c r="AG134">
        <v>0</v>
      </c>
      <c r="AH134">
        <v>0</v>
      </c>
      <c r="AI134">
        <v>0</v>
      </c>
    </row>
    <row r="135" spans="1:35" x14ac:dyDescent="0.25">
      <c r="A135">
        <f>novatel_oem615[[#This Row],[GPS_WEEKS]]*604800+novatel_oem615[[#This Row],[GPS_SECONDS]]+novatel_oem615[[#This Row],[GPS_FRAC_SECS]]</f>
        <v>206387103.42199999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L135">
        <v>-2521000</v>
      </c>
      <c r="M135">
        <v>-6272000</v>
      </c>
      <c r="N135">
        <v>495200</v>
      </c>
      <c r="O135">
        <v>4101</v>
      </c>
      <c r="P135">
        <v>-1169</v>
      </c>
      <c r="Q135">
        <v>6016</v>
      </c>
      <c r="R135">
        <v>4.0257096289999996</v>
      </c>
      <c r="S135">
        <v>-112.0340271</v>
      </c>
      <c r="T135">
        <v>399978.8125</v>
      </c>
      <c r="AC135">
        <v>1</v>
      </c>
      <c r="AD135">
        <f t="shared" si="6"/>
        <v>0</v>
      </c>
      <c r="AE135">
        <f t="shared" si="7"/>
        <v>3</v>
      </c>
      <c r="AF135">
        <f t="shared" si="8"/>
        <v>0</v>
      </c>
      <c r="AG135">
        <v>0</v>
      </c>
      <c r="AH135">
        <v>0</v>
      </c>
      <c r="AI135">
        <v>0</v>
      </c>
    </row>
    <row r="136" spans="1:35" x14ac:dyDescent="0.25">
      <c r="A136">
        <f>novatel_oem615[[#This Row],[GPS_WEEKS]]*604800+novatel_oem615[[#This Row],[GPS_SECONDS]]+novatel_oem615[[#This Row],[GPS_FRAC_SECS]]</f>
        <v>206387103.42199999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L136">
        <v>-2521000</v>
      </c>
      <c r="M136">
        <v>-6272000</v>
      </c>
      <c r="N136">
        <v>495200</v>
      </c>
      <c r="O136">
        <v>4101</v>
      </c>
      <c r="P136">
        <v>-1169</v>
      </c>
      <c r="Q136">
        <v>6016</v>
      </c>
      <c r="R136">
        <v>4.0257096289999996</v>
      </c>
      <c r="S136">
        <v>-112.0340271</v>
      </c>
      <c r="T136">
        <v>399978.8125</v>
      </c>
      <c r="AC136">
        <v>1</v>
      </c>
      <c r="AD136">
        <f t="shared" si="6"/>
        <v>0</v>
      </c>
      <c r="AE136">
        <f t="shared" si="7"/>
        <v>3</v>
      </c>
      <c r="AF136">
        <f t="shared" si="8"/>
        <v>0</v>
      </c>
      <c r="AG136">
        <v>0</v>
      </c>
      <c r="AH136">
        <v>0</v>
      </c>
      <c r="AI136">
        <v>0</v>
      </c>
    </row>
    <row r="137" spans="1:35" x14ac:dyDescent="0.25">
      <c r="A137">
        <f>novatel_oem615[[#This Row],[GPS_WEEKS]]*604800+novatel_oem615[[#This Row],[GPS_SECONDS]]+novatel_oem615[[#This Row],[GPS_FRAC_SECS]]</f>
        <v>206387103.42199999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L137">
        <v>-2521000</v>
      </c>
      <c r="M137">
        <v>-6272000</v>
      </c>
      <c r="N137">
        <v>495200</v>
      </c>
      <c r="O137">
        <v>4101</v>
      </c>
      <c r="P137">
        <v>-1169</v>
      </c>
      <c r="Q137">
        <v>6016</v>
      </c>
      <c r="R137">
        <v>4.0257096289999996</v>
      </c>
      <c r="S137">
        <v>-112.0340271</v>
      </c>
      <c r="T137">
        <v>399978.8125</v>
      </c>
      <c r="AC137">
        <v>1</v>
      </c>
      <c r="AD137">
        <f t="shared" si="6"/>
        <v>0</v>
      </c>
      <c r="AE137">
        <f t="shared" si="7"/>
        <v>3</v>
      </c>
      <c r="AF137">
        <f t="shared" si="8"/>
        <v>0</v>
      </c>
      <c r="AG137">
        <v>0</v>
      </c>
      <c r="AH137">
        <v>0</v>
      </c>
      <c r="AI137">
        <v>0</v>
      </c>
    </row>
    <row r="138" spans="1:35" x14ac:dyDescent="0.25">
      <c r="A138">
        <f>novatel_oem615[[#This Row],[GPS_WEEKS]]*604800+novatel_oem615[[#This Row],[GPS_SECONDS]]+novatel_oem615[[#This Row],[GPS_FRAC_SECS]]</f>
        <v>206387103.42199999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L138">
        <v>-2521000</v>
      </c>
      <c r="M138">
        <v>-6272000</v>
      </c>
      <c r="N138">
        <v>495200</v>
      </c>
      <c r="O138">
        <v>4101</v>
      </c>
      <c r="P138">
        <v>-1169</v>
      </c>
      <c r="Q138">
        <v>6016</v>
      </c>
      <c r="R138">
        <v>4.0257096289999996</v>
      </c>
      <c r="S138">
        <v>-112.0340271</v>
      </c>
      <c r="T138">
        <v>399978.8125</v>
      </c>
      <c r="AC138">
        <v>1</v>
      </c>
      <c r="AD138">
        <f t="shared" si="6"/>
        <v>0</v>
      </c>
      <c r="AE138">
        <f t="shared" si="7"/>
        <v>3</v>
      </c>
      <c r="AF138">
        <f t="shared" si="8"/>
        <v>0</v>
      </c>
      <c r="AG138">
        <v>0</v>
      </c>
      <c r="AH138">
        <v>0</v>
      </c>
      <c r="AI138">
        <v>0</v>
      </c>
    </row>
    <row r="139" spans="1:35" x14ac:dyDescent="0.25">
      <c r="A139">
        <f>novatel_oem615[[#This Row],[GPS_WEEKS]]*604800+novatel_oem615[[#This Row],[GPS_SECONDS]]+novatel_oem615[[#This Row],[GPS_FRAC_SECS]]</f>
        <v>206387103.42199999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L139">
        <v>-2521000</v>
      </c>
      <c r="M139">
        <v>-6272000</v>
      </c>
      <c r="N139">
        <v>495200</v>
      </c>
      <c r="O139">
        <v>4101</v>
      </c>
      <c r="P139">
        <v>-1169</v>
      </c>
      <c r="Q139">
        <v>6016</v>
      </c>
      <c r="R139">
        <v>4.0257096289999996</v>
      </c>
      <c r="S139">
        <v>-112.0340271</v>
      </c>
      <c r="T139">
        <v>399978.8125</v>
      </c>
      <c r="AC139">
        <v>1</v>
      </c>
      <c r="AD139">
        <f t="shared" si="6"/>
        <v>0</v>
      </c>
      <c r="AE139">
        <f t="shared" si="7"/>
        <v>3</v>
      </c>
      <c r="AF139">
        <f t="shared" si="8"/>
        <v>0</v>
      </c>
      <c r="AG139">
        <v>0</v>
      </c>
      <c r="AH139">
        <v>0</v>
      </c>
      <c r="AI139">
        <v>0</v>
      </c>
    </row>
    <row r="140" spans="1:35" x14ac:dyDescent="0.25">
      <c r="A140">
        <f>novatel_oem615[[#This Row],[GPS_WEEKS]]*604800+novatel_oem615[[#This Row],[GPS_SECONDS]]+novatel_oem615[[#This Row],[GPS_FRAC_SECS]]</f>
        <v>206387103.42199999</v>
      </c>
      <c r="B140">
        <v>1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L140">
        <v>-2521000</v>
      </c>
      <c r="M140">
        <v>-6272000</v>
      </c>
      <c r="N140">
        <v>495200</v>
      </c>
      <c r="O140">
        <v>4101</v>
      </c>
      <c r="P140">
        <v>-1169</v>
      </c>
      <c r="Q140">
        <v>6016</v>
      </c>
      <c r="R140">
        <v>4.0257096289999996</v>
      </c>
      <c r="S140">
        <v>-112.0340271</v>
      </c>
      <c r="T140">
        <v>399978.8125</v>
      </c>
      <c r="AC140">
        <v>1</v>
      </c>
      <c r="AD140">
        <f t="shared" si="6"/>
        <v>0</v>
      </c>
      <c r="AE140">
        <f t="shared" si="7"/>
        <v>3</v>
      </c>
      <c r="AF140">
        <f t="shared" si="8"/>
        <v>0</v>
      </c>
      <c r="AG140">
        <v>0</v>
      </c>
      <c r="AH140">
        <v>0</v>
      </c>
      <c r="AI140">
        <v>0</v>
      </c>
    </row>
    <row r="141" spans="1:35" x14ac:dyDescent="0.25">
      <c r="A141">
        <f>novatel_oem615[[#This Row],[GPS_WEEKS]]*604800+novatel_oem615[[#This Row],[GPS_SECONDS]]+novatel_oem615[[#This Row],[GPS_FRAC_SECS]]</f>
        <v>206387103.42199999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v>-2521000</v>
      </c>
      <c r="M141">
        <v>-6272000</v>
      </c>
      <c r="N141">
        <v>495200</v>
      </c>
      <c r="O141">
        <v>4101</v>
      </c>
      <c r="P141">
        <v>-1169</v>
      </c>
      <c r="Q141">
        <v>6016</v>
      </c>
      <c r="R141">
        <v>4.0257096289999996</v>
      </c>
      <c r="S141">
        <v>-112.0340271</v>
      </c>
      <c r="T141">
        <v>399978.8125</v>
      </c>
      <c r="AC141">
        <v>1</v>
      </c>
      <c r="AD141">
        <f t="shared" si="6"/>
        <v>0</v>
      </c>
      <c r="AE141">
        <f t="shared" si="7"/>
        <v>3</v>
      </c>
      <c r="AF141">
        <f t="shared" si="8"/>
        <v>0</v>
      </c>
      <c r="AG141">
        <v>0</v>
      </c>
      <c r="AH141">
        <v>0</v>
      </c>
      <c r="AI141">
        <v>0</v>
      </c>
    </row>
    <row r="142" spans="1:35" x14ac:dyDescent="0.25">
      <c r="A142">
        <f>novatel_oem615[[#This Row],[GPS_WEEKS]]*604800+novatel_oem615[[#This Row],[GPS_SECONDS]]+novatel_oem615[[#This Row],[GPS_FRAC_SECS]]</f>
        <v>206387103.42199999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L142">
        <v>-2521000</v>
      </c>
      <c r="M142">
        <v>-6272000</v>
      </c>
      <c r="N142">
        <v>495200</v>
      </c>
      <c r="O142">
        <v>4101</v>
      </c>
      <c r="P142">
        <v>-1169</v>
      </c>
      <c r="Q142">
        <v>6016</v>
      </c>
      <c r="R142">
        <v>4.0257096289999996</v>
      </c>
      <c r="S142">
        <v>-112.0340271</v>
      </c>
      <c r="T142">
        <v>399978.8125</v>
      </c>
      <c r="AC142">
        <v>1</v>
      </c>
      <c r="AD142">
        <f t="shared" si="6"/>
        <v>0</v>
      </c>
      <c r="AE142">
        <f t="shared" si="7"/>
        <v>3</v>
      </c>
      <c r="AF142">
        <f t="shared" si="8"/>
        <v>0</v>
      </c>
      <c r="AG142">
        <v>0</v>
      </c>
      <c r="AH142">
        <v>0</v>
      </c>
      <c r="AI142">
        <v>0</v>
      </c>
    </row>
    <row r="143" spans="1:35" x14ac:dyDescent="0.25">
      <c r="A143">
        <f>novatel_oem615[[#This Row],[GPS_WEEKS]]*604800+novatel_oem615[[#This Row],[GPS_SECONDS]]+novatel_oem615[[#This Row],[GPS_FRAC_SECS]]</f>
        <v>206387103.42199999</v>
      </c>
      <c r="B143">
        <v>1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L143">
        <v>-2521000</v>
      </c>
      <c r="M143">
        <v>-6272000</v>
      </c>
      <c r="N143">
        <v>495200</v>
      </c>
      <c r="O143">
        <v>4101</v>
      </c>
      <c r="P143">
        <v>-1169</v>
      </c>
      <c r="Q143">
        <v>6016</v>
      </c>
      <c r="R143">
        <v>4.0257096289999996</v>
      </c>
      <c r="S143">
        <v>-112.0340271</v>
      </c>
      <c r="T143">
        <v>399978.8125</v>
      </c>
      <c r="AC143">
        <v>1</v>
      </c>
      <c r="AD143">
        <f t="shared" si="6"/>
        <v>0</v>
      </c>
      <c r="AE143">
        <f t="shared" si="7"/>
        <v>3</v>
      </c>
      <c r="AF143">
        <f t="shared" si="8"/>
        <v>0</v>
      </c>
      <c r="AG143">
        <v>0</v>
      </c>
      <c r="AH143">
        <v>0</v>
      </c>
      <c r="AI143">
        <v>0</v>
      </c>
    </row>
    <row r="144" spans="1:35" x14ac:dyDescent="0.25">
      <c r="A144">
        <f>novatel_oem615[[#This Row],[GPS_WEEKS]]*604800+novatel_oem615[[#This Row],[GPS_SECONDS]]+novatel_oem615[[#This Row],[GPS_FRAC_SECS]]</f>
        <v>206387103.42199999</v>
      </c>
      <c r="B144">
        <v>1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-2521000</v>
      </c>
      <c r="M144">
        <v>-6272000</v>
      </c>
      <c r="N144">
        <v>495200</v>
      </c>
      <c r="O144">
        <v>4101</v>
      </c>
      <c r="P144">
        <v>-1169</v>
      </c>
      <c r="Q144">
        <v>6016</v>
      </c>
      <c r="R144">
        <v>4.0257096289999996</v>
      </c>
      <c r="S144">
        <v>-112.0340271</v>
      </c>
      <c r="T144">
        <v>399978.8125</v>
      </c>
      <c r="AC144">
        <v>1</v>
      </c>
      <c r="AD144">
        <f t="shared" si="6"/>
        <v>0</v>
      </c>
      <c r="AE144">
        <f t="shared" si="7"/>
        <v>3</v>
      </c>
      <c r="AF144">
        <f t="shared" si="8"/>
        <v>0</v>
      </c>
      <c r="AG144">
        <v>0</v>
      </c>
      <c r="AH144">
        <v>0</v>
      </c>
      <c r="AI144">
        <v>0</v>
      </c>
    </row>
    <row r="145" spans="1:35" x14ac:dyDescent="0.25">
      <c r="A145">
        <f>novatel_oem615[[#This Row],[GPS_WEEKS]]*604800+novatel_oem615[[#This Row],[GPS_SECONDS]]+novatel_oem615[[#This Row],[GPS_FRAC_SECS]]</f>
        <v>206387103.42199999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L145">
        <v>-2521000</v>
      </c>
      <c r="M145">
        <v>-6272000</v>
      </c>
      <c r="N145">
        <v>495200</v>
      </c>
      <c r="O145">
        <v>4101</v>
      </c>
      <c r="P145">
        <v>-1169</v>
      </c>
      <c r="Q145">
        <v>6016</v>
      </c>
      <c r="R145">
        <v>4.0257096289999996</v>
      </c>
      <c r="S145">
        <v>-112.0340271</v>
      </c>
      <c r="T145">
        <v>399978.8125</v>
      </c>
      <c r="AC145">
        <v>1</v>
      </c>
      <c r="AD145">
        <f t="shared" si="6"/>
        <v>0</v>
      </c>
      <c r="AE145">
        <f t="shared" si="7"/>
        <v>3</v>
      </c>
      <c r="AF145">
        <f t="shared" si="8"/>
        <v>0</v>
      </c>
      <c r="AG145">
        <v>0</v>
      </c>
      <c r="AH145">
        <v>0</v>
      </c>
      <c r="AI145">
        <v>0</v>
      </c>
    </row>
    <row r="146" spans="1:35" x14ac:dyDescent="0.25">
      <c r="A146">
        <f>novatel_oem615[[#This Row],[GPS_WEEKS]]*604800+novatel_oem615[[#This Row],[GPS_SECONDS]]+novatel_oem615[[#This Row],[GPS_FRAC_SECS]]</f>
        <v>206387103.42199999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L146">
        <v>-2521000</v>
      </c>
      <c r="M146">
        <v>-6272000</v>
      </c>
      <c r="N146">
        <v>495200</v>
      </c>
      <c r="O146">
        <v>4101</v>
      </c>
      <c r="P146">
        <v>-1169</v>
      </c>
      <c r="Q146">
        <v>6016</v>
      </c>
      <c r="R146">
        <v>4.0257096289999996</v>
      </c>
      <c r="S146">
        <v>-112.0340271</v>
      </c>
      <c r="T146">
        <v>399978.8125</v>
      </c>
      <c r="AC146">
        <v>1</v>
      </c>
      <c r="AD146">
        <f t="shared" si="6"/>
        <v>0</v>
      </c>
      <c r="AE146">
        <f t="shared" si="7"/>
        <v>3</v>
      </c>
      <c r="AF146">
        <f t="shared" si="8"/>
        <v>0</v>
      </c>
      <c r="AG146">
        <v>0</v>
      </c>
      <c r="AH146">
        <v>0</v>
      </c>
      <c r="AI146">
        <v>0</v>
      </c>
    </row>
    <row r="147" spans="1:35" x14ac:dyDescent="0.25">
      <c r="A147">
        <f>novatel_oem615[[#This Row],[GPS_WEEKS]]*604800+novatel_oem615[[#This Row],[GPS_SECONDS]]+novatel_oem615[[#This Row],[GPS_FRAC_SECS]]</f>
        <v>206387103.42199999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L147">
        <v>-2521000</v>
      </c>
      <c r="M147">
        <v>-6272000</v>
      </c>
      <c r="N147">
        <v>495200</v>
      </c>
      <c r="O147">
        <v>4101</v>
      </c>
      <c r="P147">
        <v>-1169</v>
      </c>
      <c r="Q147">
        <v>6016</v>
      </c>
      <c r="R147">
        <v>4.0257096289999996</v>
      </c>
      <c r="S147">
        <v>-112.0340271</v>
      </c>
      <c r="T147">
        <v>399978.8125</v>
      </c>
      <c r="AC147">
        <v>1</v>
      </c>
      <c r="AD147">
        <f t="shared" si="6"/>
        <v>0</v>
      </c>
      <c r="AE147">
        <f t="shared" si="7"/>
        <v>3</v>
      </c>
      <c r="AF147">
        <f t="shared" si="8"/>
        <v>0</v>
      </c>
      <c r="AG147">
        <v>0</v>
      </c>
      <c r="AH147">
        <v>0</v>
      </c>
      <c r="AI147">
        <v>0</v>
      </c>
    </row>
    <row r="148" spans="1:35" x14ac:dyDescent="0.25">
      <c r="A148">
        <f>novatel_oem615[[#This Row],[GPS_WEEKS]]*604800+novatel_oem615[[#This Row],[GPS_SECONDS]]+novatel_oem615[[#This Row],[GPS_FRAC_SECS]]</f>
        <v>206387103.42199999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L148">
        <v>-2521000</v>
      </c>
      <c r="M148">
        <v>-6272000</v>
      </c>
      <c r="N148">
        <v>495200</v>
      </c>
      <c r="O148">
        <v>4101</v>
      </c>
      <c r="P148">
        <v>-1169</v>
      </c>
      <c r="Q148">
        <v>6016</v>
      </c>
      <c r="R148">
        <v>4.0257096289999996</v>
      </c>
      <c r="S148">
        <v>-112.0340271</v>
      </c>
      <c r="T148">
        <v>399978.8125</v>
      </c>
      <c r="AC148">
        <v>1</v>
      </c>
      <c r="AD148">
        <f t="shared" si="6"/>
        <v>0</v>
      </c>
      <c r="AE148">
        <f t="shared" si="7"/>
        <v>3</v>
      </c>
      <c r="AF148">
        <f t="shared" si="8"/>
        <v>0</v>
      </c>
      <c r="AG148">
        <v>0</v>
      </c>
      <c r="AH148">
        <v>0</v>
      </c>
      <c r="AI148">
        <v>0</v>
      </c>
    </row>
    <row r="149" spans="1:35" x14ac:dyDescent="0.25">
      <c r="A149">
        <f>novatel_oem615[[#This Row],[GPS_WEEKS]]*604800+novatel_oem615[[#This Row],[GPS_SECONDS]]+novatel_oem615[[#This Row],[GPS_FRAC_SECS]]</f>
        <v>206387103.42199999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L149">
        <v>-2521000</v>
      </c>
      <c r="M149">
        <v>-6272000</v>
      </c>
      <c r="N149">
        <v>495200</v>
      </c>
      <c r="O149">
        <v>4101</v>
      </c>
      <c r="P149">
        <v>-1169</v>
      </c>
      <c r="Q149">
        <v>6016</v>
      </c>
      <c r="R149">
        <v>4.0257096289999996</v>
      </c>
      <c r="S149">
        <v>-112.0340271</v>
      </c>
      <c r="T149">
        <v>399978.8125</v>
      </c>
      <c r="AC149">
        <v>1</v>
      </c>
      <c r="AD149">
        <f t="shared" si="6"/>
        <v>0</v>
      </c>
      <c r="AE149">
        <f t="shared" si="7"/>
        <v>3</v>
      </c>
      <c r="AF149">
        <f t="shared" si="8"/>
        <v>0</v>
      </c>
      <c r="AG149">
        <v>0</v>
      </c>
      <c r="AH149">
        <v>0</v>
      </c>
      <c r="AI149">
        <v>0</v>
      </c>
    </row>
    <row r="150" spans="1:35" x14ac:dyDescent="0.25">
      <c r="A150">
        <f>novatel_oem615[[#This Row],[GPS_WEEKS]]*604800+novatel_oem615[[#This Row],[GPS_SECONDS]]+novatel_oem615[[#This Row],[GPS_FRAC_SECS]]</f>
        <v>206387103.42199999</v>
      </c>
      <c r="B150">
        <v>1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L150">
        <v>-2521000</v>
      </c>
      <c r="M150">
        <v>-6272000</v>
      </c>
      <c r="N150">
        <v>495200</v>
      </c>
      <c r="O150">
        <v>4101</v>
      </c>
      <c r="P150">
        <v>-1169</v>
      </c>
      <c r="Q150">
        <v>6016</v>
      </c>
      <c r="R150">
        <v>4.0257096289999996</v>
      </c>
      <c r="S150">
        <v>-112.0340271</v>
      </c>
      <c r="T150">
        <v>399978.8125</v>
      </c>
      <c r="AC150">
        <v>1</v>
      </c>
      <c r="AD150">
        <f t="shared" si="6"/>
        <v>0</v>
      </c>
      <c r="AE150">
        <f t="shared" si="7"/>
        <v>3</v>
      </c>
      <c r="AF150">
        <f t="shared" si="8"/>
        <v>0</v>
      </c>
      <c r="AG150">
        <v>0</v>
      </c>
      <c r="AH150">
        <v>0</v>
      </c>
      <c r="AI150">
        <v>0</v>
      </c>
    </row>
    <row r="151" spans="1:35" x14ac:dyDescent="0.25">
      <c r="A151">
        <f>novatel_oem615[[#This Row],[GPS_WEEKS]]*604800+novatel_oem615[[#This Row],[GPS_SECONDS]]+novatel_oem615[[#This Row],[GPS_FRAC_SECS]]</f>
        <v>206387103.42199999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L151">
        <v>-2521000</v>
      </c>
      <c r="M151">
        <v>-6272000</v>
      </c>
      <c r="N151">
        <v>495200</v>
      </c>
      <c r="O151">
        <v>4101</v>
      </c>
      <c r="P151">
        <v>-1169</v>
      </c>
      <c r="Q151">
        <v>6016</v>
      </c>
      <c r="R151">
        <v>4.0257096289999996</v>
      </c>
      <c r="S151">
        <v>-112.0340271</v>
      </c>
      <c r="T151">
        <v>399978.8125</v>
      </c>
      <c r="AC151">
        <v>1</v>
      </c>
      <c r="AD151">
        <f t="shared" si="6"/>
        <v>0</v>
      </c>
      <c r="AE151">
        <f t="shared" si="7"/>
        <v>3</v>
      </c>
      <c r="AF151">
        <f t="shared" si="8"/>
        <v>0</v>
      </c>
      <c r="AG151">
        <v>0</v>
      </c>
      <c r="AH151">
        <v>0</v>
      </c>
      <c r="AI151">
        <v>0</v>
      </c>
    </row>
    <row r="152" spans="1:35" x14ac:dyDescent="0.25">
      <c r="A152">
        <f>novatel_oem615[[#This Row],[GPS_WEEKS]]*604800+novatel_oem615[[#This Row],[GPS_SECONDS]]+novatel_oem615[[#This Row],[GPS_FRAC_SECS]]</f>
        <v>206387103.42199999</v>
      </c>
      <c r="B152">
        <v>1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L152">
        <v>-2521000</v>
      </c>
      <c r="M152">
        <v>-6272000</v>
      </c>
      <c r="N152">
        <v>495200</v>
      </c>
      <c r="O152">
        <v>4101</v>
      </c>
      <c r="P152">
        <v>-1169</v>
      </c>
      <c r="Q152">
        <v>6016</v>
      </c>
      <c r="R152">
        <v>4.0257096289999996</v>
      </c>
      <c r="S152">
        <v>-112.0340271</v>
      </c>
      <c r="T152">
        <v>399978.8125</v>
      </c>
      <c r="AC152">
        <v>1</v>
      </c>
      <c r="AD152">
        <f t="shared" si="6"/>
        <v>0</v>
      </c>
      <c r="AE152">
        <f t="shared" si="7"/>
        <v>3</v>
      </c>
      <c r="AF152">
        <f t="shared" si="8"/>
        <v>0</v>
      </c>
      <c r="AG152">
        <v>0</v>
      </c>
      <c r="AH152">
        <v>0</v>
      </c>
      <c r="AI152">
        <v>0</v>
      </c>
    </row>
    <row r="153" spans="1:35" x14ac:dyDescent="0.25">
      <c r="A153">
        <f>novatel_oem615[[#This Row],[GPS_WEEKS]]*604800+novatel_oem615[[#This Row],[GPS_SECONDS]]+novatel_oem615[[#This Row],[GPS_FRAC_SECS]]</f>
        <v>206387103.42199999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L153">
        <v>-2521000</v>
      </c>
      <c r="M153">
        <v>-6272000</v>
      </c>
      <c r="N153">
        <v>495200</v>
      </c>
      <c r="O153">
        <v>4101</v>
      </c>
      <c r="P153">
        <v>-1169</v>
      </c>
      <c r="Q153">
        <v>6016</v>
      </c>
      <c r="R153">
        <v>4.0257096289999996</v>
      </c>
      <c r="S153">
        <v>-112.0340271</v>
      </c>
      <c r="T153">
        <v>399978.8125</v>
      </c>
      <c r="AC153">
        <v>1</v>
      </c>
      <c r="AD153">
        <f t="shared" si="6"/>
        <v>0</v>
      </c>
      <c r="AE153">
        <f t="shared" si="7"/>
        <v>3</v>
      </c>
      <c r="AF153">
        <f t="shared" si="8"/>
        <v>0</v>
      </c>
      <c r="AG153">
        <v>0</v>
      </c>
      <c r="AH153">
        <v>0</v>
      </c>
      <c r="AI153">
        <v>0</v>
      </c>
    </row>
    <row r="154" spans="1:35" x14ac:dyDescent="0.25">
      <c r="A154">
        <f>novatel_oem615[[#This Row],[GPS_WEEKS]]*604800+novatel_oem615[[#This Row],[GPS_SECONDS]]+novatel_oem615[[#This Row],[GPS_FRAC_SECS]]</f>
        <v>206387103.42199999</v>
      </c>
      <c r="B154">
        <v>1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v>-2521000</v>
      </c>
      <c r="M154">
        <v>-6272000</v>
      </c>
      <c r="N154">
        <v>495200</v>
      </c>
      <c r="O154">
        <v>4101</v>
      </c>
      <c r="P154">
        <v>-1169</v>
      </c>
      <c r="Q154">
        <v>6016</v>
      </c>
      <c r="R154">
        <v>4.0257096289999996</v>
      </c>
      <c r="S154">
        <v>-112.0340271</v>
      </c>
      <c r="T154">
        <v>399978.8125</v>
      </c>
      <c r="AC154">
        <v>1</v>
      </c>
      <c r="AD154">
        <f t="shared" si="6"/>
        <v>0</v>
      </c>
      <c r="AE154">
        <f t="shared" si="7"/>
        <v>3</v>
      </c>
      <c r="AF154">
        <f t="shared" si="8"/>
        <v>0</v>
      </c>
      <c r="AG154">
        <v>0</v>
      </c>
      <c r="AH154">
        <v>0</v>
      </c>
      <c r="AI154">
        <v>0</v>
      </c>
    </row>
    <row r="155" spans="1:35" x14ac:dyDescent="0.25">
      <c r="A155">
        <f>novatel_oem615[[#This Row],[GPS_WEEKS]]*604800+novatel_oem615[[#This Row],[GPS_SECONDS]]+novatel_oem615[[#This Row],[GPS_FRAC_SECS]]</f>
        <v>206387103.42199999</v>
      </c>
      <c r="B155">
        <v>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-2521000</v>
      </c>
      <c r="M155">
        <v>-6272000</v>
      </c>
      <c r="N155">
        <v>495200</v>
      </c>
      <c r="O155">
        <v>4101</v>
      </c>
      <c r="P155">
        <v>-1169</v>
      </c>
      <c r="Q155">
        <v>6016</v>
      </c>
      <c r="R155">
        <v>4.0257096289999996</v>
      </c>
      <c r="S155">
        <v>-112.0340271</v>
      </c>
      <c r="T155">
        <v>399978.8125</v>
      </c>
      <c r="AC155">
        <v>1</v>
      </c>
      <c r="AD155">
        <f t="shared" si="6"/>
        <v>0</v>
      </c>
      <c r="AE155">
        <f t="shared" si="7"/>
        <v>3</v>
      </c>
      <c r="AF155">
        <f t="shared" si="8"/>
        <v>0</v>
      </c>
      <c r="AG155">
        <v>0</v>
      </c>
      <c r="AH155">
        <v>0</v>
      </c>
      <c r="AI155">
        <v>0</v>
      </c>
    </row>
    <row r="156" spans="1:35" x14ac:dyDescent="0.25">
      <c r="A156">
        <f>novatel_oem615[[#This Row],[GPS_WEEKS]]*604800+novatel_oem615[[#This Row],[GPS_SECONDS]]+novatel_oem615[[#This Row],[GPS_FRAC_SECS]]</f>
        <v>206387103.42199999</v>
      </c>
      <c r="B156">
        <v>1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L156">
        <v>-2521000</v>
      </c>
      <c r="M156">
        <v>-6272000</v>
      </c>
      <c r="N156">
        <v>495200</v>
      </c>
      <c r="O156">
        <v>4101</v>
      </c>
      <c r="P156">
        <v>-1169</v>
      </c>
      <c r="Q156">
        <v>6016</v>
      </c>
      <c r="R156">
        <v>4.0257096289999996</v>
      </c>
      <c r="S156">
        <v>-112.0340271</v>
      </c>
      <c r="T156">
        <v>399978.8125</v>
      </c>
      <c r="AC156">
        <v>1</v>
      </c>
      <c r="AD156">
        <f t="shared" si="6"/>
        <v>0</v>
      </c>
      <c r="AE156">
        <f t="shared" si="7"/>
        <v>3</v>
      </c>
      <c r="AF156">
        <f t="shared" si="8"/>
        <v>0</v>
      </c>
      <c r="AG156">
        <v>0</v>
      </c>
      <c r="AH156">
        <v>0</v>
      </c>
      <c r="AI156">
        <v>0</v>
      </c>
    </row>
    <row r="157" spans="1:35" x14ac:dyDescent="0.25">
      <c r="A157">
        <f>novatel_oem615[[#This Row],[GPS_WEEKS]]*604800+novatel_oem615[[#This Row],[GPS_SECONDS]]+novatel_oem615[[#This Row],[GPS_FRAC_SECS]]</f>
        <v>206387103.42199999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L157">
        <v>-2521000</v>
      </c>
      <c r="M157">
        <v>-6272000</v>
      </c>
      <c r="N157">
        <v>495200</v>
      </c>
      <c r="O157">
        <v>4101</v>
      </c>
      <c r="P157">
        <v>-1169</v>
      </c>
      <c r="Q157">
        <v>6016</v>
      </c>
      <c r="R157">
        <v>4.0257096289999996</v>
      </c>
      <c r="S157">
        <v>-112.0340271</v>
      </c>
      <c r="T157">
        <v>399978.8125</v>
      </c>
      <c r="AC157">
        <v>1</v>
      </c>
      <c r="AD157">
        <f t="shared" si="6"/>
        <v>0</v>
      </c>
      <c r="AE157">
        <f t="shared" si="7"/>
        <v>3</v>
      </c>
      <c r="AF157">
        <f t="shared" si="8"/>
        <v>0</v>
      </c>
      <c r="AG157">
        <v>0</v>
      </c>
      <c r="AH157">
        <v>0</v>
      </c>
      <c r="AI157">
        <v>0</v>
      </c>
    </row>
    <row r="158" spans="1:35" x14ac:dyDescent="0.25">
      <c r="A158">
        <f>novatel_oem615[[#This Row],[GPS_WEEKS]]*604800+novatel_oem615[[#This Row],[GPS_SECONDS]]+novatel_oem615[[#This Row],[GPS_FRAC_SECS]]</f>
        <v>206387103.42199999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L158">
        <v>-2521000</v>
      </c>
      <c r="M158">
        <v>-6272000</v>
      </c>
      <c r="N158">
        <v>495200</v>
      </c>
      <c r="O158">
        <v>4101</v>
      </c>
      <c r="P158">
        <v>-1169</v>
      </c>
      <c r="Q158">
        <v>6016</v>
      </c>
      <c r="R158">
        <v>4.0257096289999996</v>
      </c>
      <c r="S158">
        <v>-112.0340271</v>
      </c>
      <c r="T158">
        <v>399978.8125</v>
      </c>
      <c r="AC158">
        <v>1</v>
      </c>
      <c r="AD158">
        <f t="shared" si="6"/>
        <v>0</v>
      </c>
      <c r="AE158">
        <f t="shared" si="7"/>
        <v>3</v>
      </c>
      <c r="AF158">
        <f t="shared" si="8"/>
        <v>0</v>
      </c>
      <c r="AG158">
        <v>0</v>
      </c>
      <c r="AH158">
        <v>0</v>
      </c>
      <c r="AI158">
        <v>0</v>
      </c>
    </row>
    <row r="159" spans="1:35" x14ac:dyDescent="0.25">
      <c r="A159">
        <f>novatel_oem615[[#This Row],[GPS_WEEKS]]*604800+novatel_oem615[[#This Row],[GPS_SECONDS]]+novatel_oem615[[#This Row],[GPS_FRAC_SECS]]</f>
        <v>206387103.42199999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L159">
        <v>-2521000</v>
      </c>
      <c r="M159">
        <v>-6272000</v>
      </c>
      <c r="N159">
        <v>495200</v>
      </c>
      <c r="O159">
        <v>4101</v>
      </c>
      <c r="P159">
        <v>-1169</v>
      </c>
      <c r="Q159">
        <v>6016</v>
      </c>
      <c r="R159">
        <v>4.0257096289999996</v>
      </c>
      <c r="S159">
        <v>-112.0340271</v>
      </c>
      <c r="T159">
        <v>399978.8125</v>
      </c>
      <c r="AC159">
        <v>1</v>
      </c>
      <c r="AD159">
        <f t="shared" si="6"/>
        <v>0</v>
      </c>
      <c r="AE159">
        <f t="shared" si="7"/>
        <v>3</v>
      </c>
      <c r="AF159">
        <f t="shared" si="8"/>
        <v>0</v>
      </c>
      <c r="AG159">
        <v>0</v>
      </c>
      <c r="AH159">
        <v>0</v>
      </c>
      <c r="AI159">
        <v>0</v>
      </c>
    </row>
    <row r="160" spans="1:35" x14ac:dyDescent="0.25">
      <c r="A160">
        <f>novatel_oem615[[#This Row],[GPS_WEEKS]]*604800+novatel_oem615[[#This Row],[GPS_SECONDS]]+novatel_oem615[[#This Row],[GPS_FRAC_SECS]]</f>
        <v>206387103.42199999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-2521000</v>
      </c>
      <c r="M160">
        <v>-6272000</v>
      </c>
      <c r="N160">
        <v>495200</v>
      </c>
      <c r="O160">
        <v>4101</v>
      </c>
      <c r="P160">
        <v>-1169</v>
      </c>
      <c r="Q160">
        <v>6016</v>
      </c>
      <c r="R160">
        <v>4.0257096289999996</v>
      </c>
      <c r="S160">
        <v>-112.0340271</v>
      </c>
      <c r="T160">
        <v>399978.8125</v>
      </c>
      <c r="AC160">
        <v>1</v>
      </c>
      <c r="AD160">
        <f t="shared" si="6"/>
        <v>0</v>
      </c>
      <c r="AE160">
        <f t="shared" si="7"/>
        <v>3</v>
      </c>
      <c r="AF160">
        <f t="shared" si="8"/>
        <v>0</v>
      </c>
      <c r="AG160">
        <v>0</v>
      </c>
      <c r="AH160">
        <v>0</v>
      </c>
      <c r="AI160">
        <v>0</v>
      </c>
    </row>
    <row r="161" spans="1:35" x14ac:dyDescent="0.25">
      <c r="A161">
        <f>novatel_oem615[[#This Row],[GPS_WEEKS]]*604800+novatel_oem615[[#This Row],[GPS_SECONDS]]+novatel_oem615[[#This Row],[GPS_FRAC_SECS]]</f>
        <v>206387103.42199999</v>
      </c>
      <c r="B161">
        <v>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L161">
        <v>-2521000</v>
      </c>
      <c r="M161">
        <v>-6272000</v>
      </c>
      <c r="N161">
        <v>495200</v>
      </c>
      <c r="O161">
        <v>4101</v>
      </c>
      <c r="P161">
        <v>-1169</v>
      </c>
      <c r="Q161">
        <v>6016</v>
      </c>
      <c r="R161">
        <v>4.0257096289999996</v>
      </c>
      <c r="S161">
        <v>-112.0340271</v>
      </c>
      <c r="T161">
        <v>399978.8125</v>
      </c>
      <c r="AC161">
        <v>1</v>
      </c>
      <c r="AD161">
        <f t="shared" si="6"/>
        <v>0</v>
      </c>
      <c r="AE161">
        <f t="shared" si="7"/>
        <v>3</v>
      </c>
      <c r="AF161">
        <f t="shared" si="8"/>
        <v>0</v>
      </c>
      <c r="AG161">
        <v>0</v>
      </c>
      <c r="AH161">
        <v>0</v>
      </c>
      <c r="AI161">
        <v>0</v>
      </c>
    </row>
    <row r="162" spans="1:35" x14ac:dyDescent="0.25">
      <c r="A162">
        <f>novatel_oem615[[#This Row],[GPS_WEEKS]]*604800+novatel_oem615[[#This Row],[GPS_SECONDS]]+novatel_oem615[[#This Row],[GPS_FRAC_SECS]]</f>
        <v>206387103.42199999</v>
      </c>
      <c r="B162">
        <v>1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L162">
        <v>-2521000</v>
      </c>
      <c r="M162">
        <v>-6272000</v>
      </c>
      <c r="N162">
        <v>495200</v>
      </c>
      <c r="O162">
        <v>4101</v>
      </c>
      <c r="P162">
        <v>-1169</v>
      </c>
      <c r="Q162">
        <v>6016</v>
      </c>
      <c r="R162">
        <v>4.0257096289999996</v>
      </c>
      <c r="S162">
        <v>-112.0340271</v>
      </c>
      <c r="T162">
        <v>399978.8125</v>
      </c>
      <c r="AC162">
        <v>1</v>
      </c>
      <c r="AD162">
        <f t="shared" si="6"/>
        <v>0</v>
      </c>
      <c r="AE162">
        <f t="shared" si="7"/>
        <v>3</v>
      </c>
      <c r="AF162">
        <f t="shared" si="8"/>
        <v>0</v>
      </c>
      <c r="AG162">
        <v>0</v>
      </c>
      <c r="AH162">
        <v>0</v>
      </c>
      <c r="AI162">
        <v>0</v>
      </c>
    </row>
    <row r="163" spans="1:35" x14ac:dyDescent="0.25">
      <c r="A163">
        <f>novatel_oem615[[#This Row],[GPS_WEEKS]]*604800+novatel_oem615[[#This Row],[GPS_SECONDS]]+novatel_oem615[[#This Row],[GPS_FRAC_SECS]]</f>
        <v>206387103.42199999</v>
      </c>
      <c r="B163">
        <v>1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L163">
        <v>-2521000</v>
      </c>
      <c r="M163">
        <v>-6272000</v>
      </c>
      <c r="N163">
        <v>495200</v>
      </c>
      <c r="O163">
        <v>4101</v>
      </c>
      <c r="P163">
        <v>-1169</v>
      </c>
      <c r="Q163">
        <v>6016</v>
      </c>
      <c r="R163">
        <v>4.0257096289999996</v>
      </c>
      <c r="S163">
        <v>-112.0340271</v>
      </c>
      <c r="T163">
        <v>399978.8125</v>
      </c>
      <c r="AC163">
        <v>1</v>
      </c>
      <c r="AD163">
        <f t="shared" si="6"/>
        <v>0</v>
      </c>
      <c r="AE163">
        <f t="shared" si="7"/>
        <v>3</v>
      </c>
      <c r="AF163">
        <f t="shared" si="8"/>
        <v>0</v>
      </c>
      <c r="AG163">
        <v>0</v>
      </c>
      <c r="AH163">
        <v>0</v>
      </c>
      <c r="AI163">
        <v>0</v>
      </c>
    </row>
    <row r="164" spans="1:35" x14ac:dyDescent="0.25">
      <c r="A164">
        <f>novatel_oem615[[#This Row],[GPS_WEEKS]]*604800+novatel_oem615[[#This Row],[GPS_SECONDS]]+novatel_oem615[[#This Row],[GPS_FRAC_SECS]]</f>
        <v>206387103.42199999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L164">
        <v>-2521000</v>
      </c>
      <c r="M164">
        <v>-6272000</v>
      </c>
      <c r="N164">
        <v>495200</v>
      </c>
      <c r="O164">
        <v>4101</v>
      </c>
      <c r="P164">
        <v>-1169</v>
      </c>
      <c r="Q164">
        <v>6016</v>
      </c>
      <c r="R164">
        <v>4.0257096289999996</v>
      </c>
      <c r="S164">
        <v>-112.0340271</v>
      </c>
      <c r="T164">
        <v>399978.8125</v>
      </c>
      <c r="AC164">
        <v>1</v>
      </c>
      <c r="AD164">
        <f t="shared" si="6"/>
        <v>0</v>
      </c>
      <c r="AE164">
        <f t="shared" si="7"/>
        <v>3</v>
      </c>
      <c r="AF164">
        <f t="shared" si="8"/>
        <v>0</v>
      </c>
      <c r="AG164">
        <v>0</v>
      </c>
      <c r="AH164">
        <v>0</v>
      </c>
      <c r="AI164">
        <v>0</v>
      </c>
    </row>
    <row r="165" spans="1:35" x14ac:dyDescent="0.25">
      <c r="A165">
        <f>novatel_oem615[[#This Row],[GPS_WEEKS]]*604800+novatel_oem615[[#This Row],[GPS_SECONDS]]+novatel_oem615[[#This Row],[GPS_FRAC_SECS]]</f>
        <v>206387103.42199999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-2521000</v>
      </c>
      <c r="M165">
        <v>-6272000</v>
      </c>
      <c r="N165">
        <v>495200</v>
      </c>
      <c r="O165">
        <v>4101</v>
      </c>
      <c r="P165">
        <v>-1169</v>
      </c>
      <c r="Q165">
        <v>6016</v>
      </c>
      <c r="R165">
        <v>4.0257096289999996</v>
      </c>
      <c r="S165">
        <v>-112.0340271</v>
      </c>
      <c r="T165">
        <v>399978.8125</v>
      </c>
      <c r="AC165">
        <v>1</v>
      </c>
      <c r="AD165">
        <f t="shared" si="6"/>
        <v>0</v>
      </c>
      <c r="AE165">
        <f t="shared" si="7"/>
        <v>3</v>
      </c>
      <c r="AF165">
        <f t="shared" si="8"/>
        <v>0</v>
      </c>
      <c r="AG165">
        <v>0</v>
      </c>
      <c r="AH165">
        <v>0</v>
      </c>
      <c r="AI165">
        <v>0</v>
      </c>
    </row>
    <row r="166" spans="1:35" x14ac:dyDescent="0.25">
      <c r="A166">
        <f>novatel_oem615[[#This Row],[GPS_WEEKS]]*604800+novatel_oem615[[#This Row],[GPS_SECONDS]]+novatel_oem615[[#This Row],[GPS_FRAC_SECS]]</f>
        <v>206387103.42199999</v>
      </c>
      <c r="B166">
        <v>1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-2521000</v>
      </c>
      <c r="M166">
        <v>-6272000</v>
      </c>
      <c r="N166">
        <v>495200</v>
      </c>
      <c r="O166">
        <v>4101</v>
      </c>
      <c r="P166">
        <v>-1169</v>
      </c>
      <c r="Q166">
        <v>6016</v>
      </c>
      <c r="R166">
        <v>4.0257096289999996</v>
      </c>
      <c r="S166">
        <v>-112.0340271</v>
      </c>
      <c r="T166">
        <v>399978.8125</v>
      </c>
      <c r="AC166">
        <v>1</v>
      </c>
      <c r="AD166">
        <f t="shared" si="6"/>
        <v>0</v>
      </c>
      <c r="AE166">
        <f t="shared" si="7"/>
        <v>3</v>
      </c>
      <c r="AF166">
        <f t="shared" si="8"/>
        <v>0</v>
      </c>
      <c r="AG166">
        <v>0</v>
      </c>
      <c r="AH166">
        <v>0</v>
      </c>
      <c r="AI166">
        <v>0</v>
      </c>
    </row>
    <row r="167" spans="1:35" x14ac:dyDescent="0.25">
      <c r="A167">
        <f>novatel_oem615[[#This Row],[GPS_WEEKS]]*604800+novatel_oem615[[#This Row],[GPS_SECONDS]]+novatel_oem615[[#This Row],[GPS_FRAC_SECS]]</f>
        <v>206387103.42199999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L167">
        <v>-2521000</v>
      </c>
      <c r="M167">
        <v>-6272000</v>
      </c>
      <c r="N167">
        <v>495200</v>
      </c>
      <c r="O167">
        <v>4101</v>
      </c>
      <c r="P167">
        <v>-1169</v>
      </c>
      <c r="Q167">
        <v>6016</v>
      </c>
      <c r="R167">
        <v>4.0257096289999996</v>
      </c>
      <c r="S167">
        <v>-112.0340271</v>
      </c>
      <c r="T167">
        <v>399978.8125</v>
      </c>
      <c r="AC167">
        <v>1</v>
      </c>
      <c r="AD167">
        <f t="shared" si="6"/>
        <v>0</v>
      </c>
      <c r="AE167">
        <f t="shared" si="7"/>
        <v>3</v>
      </c>
      <c r="AF167">
        <f t="shared" si="8"/>
        <v>0</v>
      </c>
      <c r="AG167">
        <v>0</v>
      </c>
      <c r="AH167">
        <v>0</v>
      </c>
      <c r="AI167">
        <v>0</v>
      </c>
    </row>
    <row r="168" spans="1:35" x14ac:dyDescent="0.25">
      <c r="A168">
        <f>novatel_oem615[[#This Row],[GPS_WEEKS]]*604800+novatel_oem615[[#This Row],[GPS_SECONDS]]+novatel_oem615[[#This Row],[GPS_FRAC_SECS]]</f>
        <v>206387103.42199999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L168">
        <v>-2521000</v>
      </c>
      <c r="M168">
        <v>-6272000</v>
      </c>
      <c r="N168">
        <v>495200</v>
      </c>
      <c r="O168">
        <v>4101</v>
      </c>
      <c r="P168">
        <v>-1169</v>
      </c>
      <c r="Q168">
        <v>6016</v>
      </c>
      <c r="R168">
        <v>4.0257096289999996</v>
      </c>
      <c r="S168">
        <v>-112.0340271</v>
      </c>
      <c r="T168">
        <v>399978.8125</v>
      </c>
      <c r="AC168">
        <v>1</v>
      </c>
      <c r="AD168">
        <f t="shared" si="6"/>
        <v>0</v>
      </c>
      <c r="AE168">
        <f t="shared" si="7"/>
        <v>3</v>
      </c>
      <c r="AF168">
        <f t="shared" si="8"/>
        <v>0</v>
      </c>
      <c r="AG168">
        <v>0</v>
      </c>
      <c r="AH168">
        <v>0</v>
      </c>
      <c r="AI168">
        <v>0</v>
      </c>
    </row>
    <row r="169" spans="1:35" x14ac:dyDescent="0.25">
      <c r="A169">
        <f>novatel_oem615[[#This Row],[GPS_WEEKS]]*604800+novatel_oem615[[#This Row],[GPS_SECONDS]]+novatel_oem615[[#This Row],[GPS_FRAC_SECS]]</f>
        <v>206387103.42199999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L169">
        <v>-2521000</v>
      </c>
      <c r="M169">
        <v>-6272000</v>
      </c>
      <c r="N169">
        <v>495200</v>
      </c>
      <c r="O169">
        <v>4101</v>
      </c>
      <c r="P169">
        <v>-1169</v>
      </c>
      <c r="Q169">
        <v>6016</v>
      </c>
      <c r="R169">
        <v>4.0257096289999996</v>
      </c>
      <c r="S169">
        <v>-112.0340271</v>
      </c>
      <c r="T169">
        <v>399978.8125</v>
      </c>
      <c r="AC169">
        <v>1</v>
      </c>
      <c r="AD169">
        <f t="shared" si="6"/>
        <v>0</v>
      </c>
      <c r="AE169">
        <f t="shared" si="7"/>
        <v>3</v>
      </c>
      <c r="AF169">
        <f t="shared" si="8"/>
        <v>0</v>
      </c>
      <c r="AG169">
        <v>0</v>
      </c>
      <c r="AH169">
        <v>0</v>
      </c>
      <c r="AI169">
        <v>0</v>
      </c>
    </row>
    <row r="170" spans="1:35" x14ac:dyDescent="0.25">
      <c r="A170">
        <f>novatel_oem615[[#This Row],[GPS_WEEKS]]*604800+novatel_oem615[[#This Row],[GPS_SECONDS]]+novatel_oem615[[#This Row],[GPS_FRAC_SECS]]</f>
        <v>206387103.42199999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v>-2521000</v>
      </c>
      <c r="M170">
        <v>-6272000</v>
      </c>
      <c r="N170">
        <v>495200</v>
      </c>
      <c r="O170">
        <v>4101</v>
      </c>
      <c r="P170">
        <v>-1169</v>
      </c>
      <c r="Q170">
        <v>6016</v>
      </c>
      <c r="R170">
        <v>4.0257096289999996</v>
      </c>
      <c r="S170">
        <v>-112.0340271</v>
      </c>
      <c r="T170">
        <v>399978.8125</v>
      </c>
      <c r="AC170">
        <v>1</v>
      </c>
      <c r="AD170">
        <f t="shared" si="6"/>
        <v>0</v>
      </c>
      <c r="AE170">
        <f t="shared" si="7"/>
        <v>3</v>
      </c>
      <c r="AF170">
        <f t="shared" si="8"/>
        <v>0</v>
      </c>
      <c r="AG170">
        <v>0</v>
      </c>
      <c r="AH170">
        <v>0</v>
      </c>
      <c r="AI170">
        <v>0</v>
      </c>
    </row>
    <row r="171" spans="1:35" x14ac:dyDescent="0.25">
      <c r="A171">
        <f>novatel_oem615[[#This Row],[GPS_WEEKS]]*604800+novatel_oem615[[#This Row],[GPS_SECONDS]]+novatel_oem615[[#This Row],[GPS_FRAC_SECS]]</f>
        <v>206387103.42199999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L171">
        <v>-2521000</v>
      </c>
      <c r="M171">
        <v>-6272000</v>
      </c>
      <c r="N171">
        <v>495200</v>
      </c>
      <c r="O171">
        <v>4101</v>
      </c>
      <c r="P171">
        <v>-1169</v>
      </c>
      <c r="Q171">
        <v>6016</v>
      </c>
      <c r="R171">
        <v>4.0257096289999996</v>
      </c>
      <c r="S171">
        <v>-112.0340271</v>
      </c>
      <c r="T171">
        <v>399978.8125</v>
      </c>
      <c r="AC171">
        <v>1</v>
      </c>
      <c r="AD171">
        <f t="shared" si="6"/>
        <v>0</v>
      </c>
      <c r="AE171">
        <f t="shared" si="7"/>
        <v>3</v>
      </c>
      <c r="AF171">
        <f t="shared" si="8"/>
        <v>0</v>
      </c>
      <c r="AG171">
        <v>0</v>
      </c>
      <c r="AH171">
        <v>0</v>
      </c>
      <c r="AI171">
        <v>0</v>
      </c>
    </row>
    <row r="172" spans="1:35" x14ac:dyDescent="0.25">
      <c r="A172">
        <f>novatel_oem615[[#This Row],[GPS_WEEKS]]*604800+novatel_oem615[[#This Row],[GPS_SECONDS]]+novatel_oem615[[#This Row],[GPS_FRAC_SECS]]</f>
        <v>206387103.42199999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L172">
        <v>-2521000</v>
      </c>
      <c r="M172">
        <v>-6272000</v>
      </c>
      <c r="N172">
        <v>495200</v>
      </c>
      <c r="O172">
        <v>4101</v>
      </c>
      <c r="P172">
        <v>-1169</v>
      </c>
      <c r="Q172">
        <v>6016</v>
      </c>
      <c r="R172">
        <v>4.0257096289999996</v>
      </c>
      <c r="S172">
        <v>-112.0340271</v>
      </c>
      <c r="T172">
        <v>399978.8125</v>
      </c>
      <c r="AC172">
        <v>1</v>
      </c>
      <c r="AD172">
        <f t="shared" si="6"/>
        <v>0</v>
      </c>
      <c r="AE172">
        <f t="shared" si="7"/>
        <v>3</v>
      </c>
      <c r="AF172">
        <f t="shared" si="8"/>
        <v>0</v>
      </c>
      <c r="AG172">
        <v>0</v>
      </c>
      <c r="AH172">
        <v>0</v>
      </c>
      <c r="AI172">
        <v>0</v>
      </c>
    </row>
    <row r="173" spans="1:35" x14ac:dyDescent="0.25">
      <c r="A173">
        <f>novatel_oem615[[#This Row],[GPS_WEEKS]]*604800+novatel_oem615[[#This Row],[GPS_SECONDS]]+novatel_oem615[[#This Row],[GPS_FRAC_SECS]]</f>
        <v>206387103.42199999</v>
      </c>
      <c r="B173">
        <v>1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L173">
        <v>-2521000</v>
      </c>
      <c r="M173">
        <v>-6272000</v>
      </c>
      <c r="N173">
        <v>495200</v>
      </c>
      <c r="O173">
        <v>4101</v>
      </c>
      <c r="P173">
        <v>-1169</v>
      </c>
      <c r="Q173">
        <v>6016</v>
      </c>
      <c r="R173">
        <v>4.0257096289999996</v>
      </c>
      <c r="S173">
        <v>-112.0340271</v>
      </c>
      <c r="T173">
        <v>399978.8125</v>
      </c>
      <c r="AC173">
        <v>1</v>
      </c>
      <c r="AD173">
        <f t="shared" si="6"/>
        <v>0</v>
      </c>
      <c r="AE173">
        <f t="shared" si="7"/>
        <v>3</v>
      </c>
      <c r="AF173">
        <f t="shared" si="8"/>
        <v>0</v>
      </c>
      <c r="AG173">
        <v>0</v>
      </c>
      <c r="AH173">
        <v>0</v>
      </c>
      <c r="AI173">
        <v>0</v>
      </c>
    </row>
    <row r="174" spans="1:35" x14ac:dyDescent="0.25">
      <c r="A174">
        <f>novatel_oem615[[#This Row],[GPS_WEEKS]]*604800+novatel_oem615[[#This Row],[GPS_SECONDS]]+novatel_oem615[[#This Row],[GPS_FRAC_SECS]]</f>
        <v>206387103.42199999</v>
      </c>
      <c r="B174">
        <v>1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-2521000</v>
      </c>
      <c r="M174">
        <v>-6272000</v>
      </c>
      <c r="N174">
        <v>495200</v>
      </c>
      <c r="O174">
        <v>4101</v>
      </c>
      <c r="P174">
        <v>-1169</v>
      </c>
      <c r="Q174">
        <v>6016</v>
      </c>
      <c r="R174">
        <v>4.0257096289999996</v>
      </c>
      <c r="S174">
        <v>-112.0340271</v>
      </c>
      <c r="T174">
        <v>399978.8125</v>
      </c>
      <c r="AC174">
        <v>1</v>
      </c>
      <c r="AD174">
        <f t="shared" si="6"/>
        <v>0</v>
      </c>
      <c r="AE174">
        <f t="shared" si="7"/>
        <v>3</v>
      </c>
      <c r="AF174">
        <f t="shared" si="8"/>
        <v>0</v>
      </c>
      <c r="AG174">
        <v>0</v>
      </c>
      <c r="AH174">
        <v>0</v>
      </c>
      <c r="AI174">
        <v>0</v>
      </c>
    </row>
    <row r="175" spans="1:35" x14ac:dyDescent="0.25">
      <c r="A175">
        <f>novatel_oem615[[#This Row],[GPS_WEEKS]]*604800+novatel_oem615[[#This Row],[GPS_SECONDS]]+novatel_oem615[[#This Row],[GPS_FRAC_SECS]]</f>
        <v>206387103.42199999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-2521000</v>
      </c>
      <c r="M175">
        <v>-6272000</v>
      </c>
      <c r="N175">
        <v>495200</v>
      </c>
      <c r="O175">
        <v>4101</v>
      </c>
      <c r="P175">
        <v>-1169</v>
      </c>
      <c r="Q175">
        <v>6016</v>
      </c>
      <c r="R175">
        <v>4.0257096289999996</v>
      </c>
      <c r="S175">
        <v>-112.0340271</v>
      </c>
      <c r="T175">
        <v>399978.8125</v>
      </c>
      <c r="AC175">
        <v>1</v>
      </c>
      <c r="AD175">
        <f t="shared" si="6"/>
        <v>0</v>
      </c>
      <c r="AE175">
        <f t="shared" si="7"/>
        <v>3</v>
      </c>
      <c r="AF175">
        <f t="shared" si="8"/>
        <v>0</v>
      </c>
      <c r="AG175">
        <v>0</v>
      </c>
      <c r="AH175">
        <v>0</v>
      </c>
      <c r="AI175">
        <v>0</v>
      </c>
    </row>
    <row r="176" spans="1:35" x14ac:dyDescent="0.25">
      <c r="A176">
        <f>novatel_oem615[[#This Row],[GPS_WEEKS]]*604800+novatel_oem615[[#This Row],[GPS_SECONDS]]+novatel_oem615[[#This Row],[GPS_FRAC_SECS]]</f>
        <v>206387103.42199999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-2521000</v>
      </c>
      <c r="M176">
        <v>-6272000</v>
      </c>
      <c r="N176">
        <v>495200</v>
      </c>
      <c r="O176">
        <v>4101</v>
      </c>
      <c r="P176">
        <v>-1169</v>
      </c>
      <c r="Q176">
        <v>6016</v>
      </c>
      <c r="R176">
        <v>4.0257096289999996</v>
      </c>
      <c r="S176">
        <v>-112.0340271</v>
      </c>
      <c r="T176">
        <v>399978.8125</v>
      </c>
      <c r="AC176">
        <v>1</v>
      </c>
      <c r="AD176">
        <f t="shared" si="6"/>
        <v>0</v>
      </c>
      <c r="AE176">
        <f t="shared" si="7"/>
        <v>3</v>
      </c>
      <c r="AF176">
        <f t="shared" si="8"/>
        <v>0</v>
      </c>
      <c r="AG176">
        <v>0</v>
      </c>
      <c r="AH176">
        <v>0</v>
      </c>
      <c r="AI176">
        <v>0</v>
      </c>
    </row>
    <row r="177" spans="1:35" x14ac:dyDescent="0.25">
      <c r="A177">
        <f>novatel_oem615[[#This Row],[GPS_WEEKS]]*604800+novatel_oem615[[#This Row],[GPS_SECONDS]]+novatel_oem615[[#This Row],[GPS_FRAC_SECS]]</f>
        <v>206387103.42199999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-2521000</v>
      </c>
      <c r="M177">
        <v>-6272000</v>
      </c>
      <c r="N177">
        <v>495200</v>
      </c>
      <c r="O177">
        <v>4101</v>
      </c>
      <c r="P177">
        <v>-1169</v>
      </c>
      <c r="Q177">
        <v>6016</v>
      </c>
      <c r="R177">
        <v>4.0257096289999996</v>
      </c>
      <c r="S177">
        <v>-112.0340271</v>
      </c>
      <c r="T177">
        <v>399978.8125</v>
      </c>
      <c r="AC177">
        <v>1</v>
      </c>
      <c r="AD177">
        <f t="shared" si="6"/>
        <v>0</v>
      </c>
      <c r="AE177">
        <f t="shared" si="7"/>
        <v>3</v>
      </c>
      <c r="AF177">
        <f t="shared" si="8"/>
        <v>0</v>
      </c>
      <c r="AG177">
        <v>0</v>
      </c>
      <c r="AH177">
        <v>0</v>
      </c>
      <c r="AI177">
        <v>0</v>
      </c>
    </row>
    <row r="178" spans="1:35" x14ac:dyDescent="0.25">
      <c r="A178">
        <f>novatel_oem615[[#This Row],[GPS_WEEKS]]*604800+novatel_oem615[[#This Row],[GPS_SECONDS]]+novatel_oem615[[#This Row],[GPS_FRAC_SECS]]</f>
        <v>206387103.42199999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L178">
        <v>-2521000</v>
      </c>
      <c r="M178">
        <v>-6272000</v>
      </c>
      <c r="N178">
        <v>495200</v>
      </c>
      <c r="O178">
        <v>4101</v>
      </c>
      <c r="P178">
        <v>-1169</v>
      </c>
      <c r="Q178">
        <v>6016</v>
      </c>
      <c r="R178">
        <v>4.0257096289999996</v>
      </c>
      <c r="S178">
        <v>-112.0340271</v>
      </c>
      <c r="T178">
        <v>399978.8125</v>
      </c>
      <c r="AC178">
        <v>1</v>
      </c>
      <c r="AD178">
        <f t="shared" si="6"/>
        <v>0</v>
      </c>
      <c r="AE178">
        <f t="shared" si="7"/>
        <v>3</v>
      </c>
      <c r="AF178">
        <f t="shared" si="8"/>
        <v>0</v>
      </c>
      <c r="AG178">
        <v>0</v>
      </c>
      <c r="AH178">
        <v>0</v>
      </c>
      <c r="AI178">
        <v>0</v>
      </c>
    </row>
    <row r="179" spans="1:35" x14ac:dyDescent="0.25">
      <c r="A179">
        <f>novatel_oem615[[#This Row],[GPS_WEEKS]]*604800+novatel_oem615[[#This Row],[GPS_SECONDS]]+novatel_oem615[[#This Row],[GPS_FRAC_SECS]]</f>
        <v>206387103.42199999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L179">
        <v>-2521000</v>
      </c>
      <c r="M179">
        <v>-6272000</v>
      </c>
      <c r="N179">
        <v>495200</v>
      </c>
      <c r="O179">
        <v>4101</v>
      </c>
      <c r="P179">
        <v>-1169</v>
      </c>
      <c r="Q179">
        <v>6016</v>
      </c>
      <c r="R179">
        <v>4.0257096289999996</v>
      </c>
      <c r="S179">
        <v>-112.0340271</v>
      </c>
      <c r="T179">
        <v>399978.8125</v>
      </c>
      <c r="AC179">
        <v>1</v>
      </c>
      <c r="AD179">
        <f t="shared" si="6"/>
        <v>0</v>
      </c>
      <c r="AE179">
        <f t="shared" si="7"/>
        <v>3</v>
      </c>
      <c r="AF179">
        <f t="shared" si="8"/>
        <v>0</v>
      </c>
      <c r="AG179">
        <v>0</v>
      </c>
      <c r="AH179">
        <v>0</v>
      </c>
      <c r="AI179">
        <v>0</v>
      </c>
    </row>
    <row r="180" spans="1:35" x14ac:dyDescent="0.25">
      <c r="A180">
        <f>novatel_oem615[[#This Row],[GPS_WEEKS]]*604800+novatel_oem615[[#This Row],[GPS_SECONDS]]+novatel_oem615[[#This Row],[GPS_FRAC_SECS]]</f>
        <v>206387103.42199999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-2521000</v>
      </c>
      <c r="M180">
        <v>-6272000</v>
      </c>
      <c r="N180">
        <v>495200</v>
      </c>
      <c r="O180">
        <v>4101</v>
      </c>
      <c r="P180">
        <v>-1169</v>
      </c>
      <c r="Q180">
        <v>6016</v>
      </c>
      <c r="R180">
        <v>4.0257096289999996</v>
      </c>
      <c r="S180">
        <v>-112.0340271</v>
      </c>
      <c r="T180">
        <v>399978.8125</v>
      </c>
      <c r="AC180">
        <v>1</v>
      </c>
      <c r="AD180">
        <f t="shared" si="6"/>
        <v>0</v>
      </c>
      <c r="AE180">
        <f t="shared" si="7"/>
        <v>3</v>
      </c>
      <c r="AF180">
        <f t="shared" si="8"/>
        <v>0</v>
      </c>
      <c r="AG180">
        <v>0</v>
      </c>
      <c r="AH180">
        <v>0</v>
      </c>
      <c r="AI180">
        <v>0</v>
      </c>
    </row>
    <row r="181" spans="1:35" x14ac:dyDescent="0.25">
      <c r="A181">
        <f>novatel_oem615[[#This Row],[GPS_WEEKS]]*604800+novatel_oem615[[#This Row],[GPS_SECONDS]]+novatel_oem615[[#This Row],[GPS_FRAC_SECS]]</f>
        <v>206387103.42199999</v>
      </c>
      <c r="B181">
        <v>1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L181">
        <v>-2521000</v>
      </c>
      <c r="M181">
        <v>-6272000</v>
      </c>
      <c r="N181">
        <v>495200</v>
      </c>
      <c r="O181">
        <v>4101</v>
      </c>
      <c r="P181">
        <v>-1169</v>
      </c>
      <c r="Q181">
        <v>6016</v>
      </c>
      <c r="R181">
        <v>4.0257096289999996</v>
      </c>
      <c r="S181">
        <v>-112.0340271</v>
      </c>
      <c r="T181">
        <v>399978.8125</v>
      </c>
      <c r="AC181">
        <v>1</v>
      </c>
      <c r="AD181">
        <f t="shared" si="6"/>
        <v>0</v>
      </c>
      <c r="AE181">
        <f t="shared" si="7"/>
        <v>3</v>
      </c>
      <c r="AF181">
        <f t="shared" si="8"/>
        <v>0</v>
      </c>
      <c r="AG181">
        <v>0</v>
      </c>
      <c r="AH181">
        <v>0</v>
      </c>
      <c r="AI181">
        <v>0</v>
      </c>
    </row>
    <row r="182" spans="1:35" x14ac:dyDescent="0.25">
      <c r="A182">
        <f>novatel_oem615[[#This Row],[GPS_WEEKS]]*604800+novatel_oem615[[#This Row],[GPS_SECONDS]]+novatel_oem615[[#This Row],[GPS_FRAC_SECS]]</f>
        <v>206387103.42199999</v>
      </c>
      <c r="B182">
        <v>1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L182">
        <v>-2521000</v>
      </c>
      <c r="M182">
        <v>-6272000</v>
      </c>
      <c r="N182">
        <v>495200</v>
      </c>
      <c r="O182">
        <v>4101</v>
      </c>
      <c r="P182">
        <v>-1169</v>
      </c>
      <c r="Q182">
        <v>6016</v>
      </c>
      <c r="R182">
        <v>4.0257096289999996</v>
      </c>
      <c r="S182">
        <v>-112.0340271</v>
      </c>
      <c r="T182">
        <v>399978.8125</v>
      </c>
      <c r="AC182">
        <v>1</v>
      </c>
      <c r="AD182">
        <f t="shared" si="6"/>
        <v>0</v>
      </c>
      <c r="AE182">
        <f t="shared" si="7"/>
        <v>3</v>
      </c>
      <c r="AF182">
        <f t="shared" si="8"/>
        <v>0</v>
      </c>
      <c r="AG182">
        <v>0</v>
      </c>
      <c r="AH182">
        <v>0</v>
      </c>
      <c r="AI182">
        <v>0</v>
      </c>
    </row>
    <row r="183" spans="1:35" x14ac:dyDescent="0.25">
      <c r="A183">
        <f>novatel_oem615[[#This Row],[GPS_WEEKS]]*604800+novatel_oem615[[#This Row],[GPS_SECONDS]]+novatel_oem615[[#This Row],[GPS_FRAC_SECS]]</f>
        <v>206387103.42199999</v>
      </c>
      <c r="B183">
        <v>1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L183">
        <v>-2521000</v>
      </c>
      <c r="M183">
        <v>-6272000</v>
      </c>
      <c r="N183">
        <v>495200</v>
      </c>
      <c r="O183">
        <v>4101</v>
      </c>
      <c r="P183">
        <v>-1169</v>
      </c>
      <c r="Q183">
        <v>6016</v>
      </c>
      <c r="R183">
        <v>4.0257096289999996</v>
      </c>
      <c r="S183">
        <v>-112.0340271</v>
      </c>
      <c r="T183">
        <v>399978.8125</v>
      </c>
      <c r="AC183">
        <v>1</v>
      </c>
      <c r="AD183">
        <f t="shared" si="6"/>
        <v>0</v>
      </c>
      <c r="AE183">
        <f t="shared" si="7"/>
        <v>3</v>
      </c>
      <c r="AF183">
        <f t="shared" si="8"/>
        <v>0</v>
      </c>
      <c r="AG183">
        <v>0</v>
      </c>
      <c r="AH183">
        <v>0</v>
      </c>
      <c r="AI183">
        <v>0</v>
      </c>
    </row>
    <row r="184" spans="1:35" x14ac:dyDescent="0.25">
      <c r="A184">
        <f>novatel_oem615[[#This Row],[GPS_WEEKS]]*604800+novatel_oem615[[#This Row],[GPS_SECONDS]]+novatel_oem615[[#This Row],[GPS_FRAC_SECS]]</f>
        <v>206387103.42199999</v>
      </c>
      <c r="B184">
        <v>1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L184">
        <v>-2521000</v>
      </c>
      <c r="M184">
        <v>-6272000</v>
      </c>
      <c r="N184">
        <v>495200</v>
      </c>
      <c r="O184">
        <v>4101</v>
      </c>
      <c r="P184">
        <v>-1169</v>
      </c>
      <c r="Q184">
        <v>6016</v>
      </c>
      <c r="R184">
        <v>4.0257096289999996</v>
      </c>
      <c r="S184">
        <v>-112.0340271</v>
      </c>
      <c r="T184">
        <v>399978.8125</v>
      </c>
      <c r="AC184">
        <v>1</v>
      </c>
      <c r="AD184">
        <f t="shared" si="6"/>
        <v>0</v>
      </c>
      <c r="AE184">
        <f t="shared" si="7"/>
        <v>3</v>
      </c>
      <c r="AF184">
        <f t="shared" si="8"/>
        <v>0</v>
      </c>
      <c r="AG184">
        <v>0</v>
      </c>
      <c r="AH184">
        <v>0</v>
      </c>
      <c r="AI184">
        <v>0</v>
      </c>
    </row>
    <row r="185" spans="1:35" x14ac:dyDescent="0.25">
      <c r="A185">
        <f>novatel_oem615[[#This Row],[GPS_WEEKS]]*604800+novatel_oem615[[#This Row],[GPS_SECONDS]]+novatel_oem615[[#This Row],[GPS_FRAC_SECS]]</f>
        <v>206387103.42199999</v>
      </c>
      <c r="B185">
        <v>1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-2521000</v>
      </c>
      <c r="M185">
        <v>-6272000</v>
      </c>
      <c r="N185">
        <v>495200</v>
      </c>
      <c r="O185">
        <v>4101</v>
      </c>
      <c r="P185">
        <v>-1169</v>
      </c>
      <c r="Q185">
        <v>6016</v>
      </c>
      <c r="R185">
        <v>4.0257096289999996</v>
      </c>
      <c r="S185">
        <v>-112.0340271</v>
      </c>
      <c r="T185">
        <v>399978.8125</v>
      </c>
      <c r="AC185">
        <v>1</v>
      </c>
      <c r="AD185">
        <f t="shared" si="6"/>
        <v>0</v>
      </c>
      <c r="AE185">
        <f t="shared" si="7"/>
        <v>3</v>
      </c>
      <c r="AF185">
        <f t="shared" si="8"/>
        <v>0</v>
      </c>
      <c r="AG185">
        <v>0</v>
      </c>
      <c r="AH185">
        <v>0</v>
      </c>
      <c r="AI185">
        <v>0</v>
      </c>
    </row>
    <row r="186" spans="1:35" x14ac:dyDescent="0.25">
      <c r="A186">
        <f>novatel_oem615[[#This Row],[GPS_WEEKS]]*604800+novatel_oem615[[#This Row],[GPS_SECONDS]]+novatel_oem615[[#This Row],[GPS_FRAC_SECS]]</f>
        <v>206387103.42199999</v>
      </c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L186">
        <v>-2521000</v>
      </c>
      <c r="M186">
        <v>-6272000</v>
      </c>
      <c r="N186">
        <v>495200</v>
      </c>
      <c r="O186">
        <v>4101</v>
      </c>
      <c r="P186">
        <v>-1169</v>
      </c>
      <c r="Q186">
        <v>6016</v>
      </c>
      <c r="R186">
        <v>4.0257096289999996</v>
      </c>
      <c r="S186">
        <v>-112.0340271</v>
      </c>
      <c r="T186">
        <v>399978.8125</v>
      </c>
      <c r="AC186">
        <v>1</v>
      </c>
      <c r="AD186">
        <f t="shared" si="6"/>
        <v>0</v>
      </c>
      <c r="AE186">
        <f t="shared" si="7"/>
        <v>3</v>
      </c>
      <c r="AF186">
        <f t="shared" si="8"/>
        <v>0</v>
      </c>
      <c r="AG186">
        <v>0</v>
      </c>
      <c r="AH186">
        <v>0</v>
      </c>
      <c r="AI186">
        <v>0</v>
      </c>
    </row>
    <row r="187" spans="1:35" x14ac:dyDescent="0.25">
      <c r="A187">
        <f>novatel_oem615[[#This Row],[GPS_WEEKS]]*604800+novatel_oem615[[#This Row],[GPS_SECONDS]]+novatel_oem615[[#This Row],[GPS_FRAC_SECS]]</f>
        <v>206387103.42199999</v>
      </c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L187">
        <v>-2521000</v>
      </c>
      <c r="M187">
        <v>-6272000</v>
      </c>
      <c r="N187">
        <v>495200</v>
      </c>
      <c r="O187">
        <v>4101</v>
      </c>
      <c r="P187">
        <v>-1169</v>
      </c>
      <c r="Q187">
        <v>6016</v>
      </c>
      <c r="R187">
        <v>4.0257096289999996</v>
      </c>
      <c r="S187">
        <v>-112.0340271</v>
      </c>
      <c r="T187">
        <v>399978.8125</v>
      </c>
      <c r="AC187">
        <v>1</v>
      </c>
      <c r="AD187">
        <f t="shared" si="6"/>
        <v>0</v>
      </c>
      <c r="AE187">
        <f t="shared" si="7"/>
        <v>3</v>
      </c>
      <c r="AF187">
        <f t="shared" si="8"/>
        <v>0</v>
      </c>
      <c r="AG187">
        <v>0</v>
      </c>
      <c r="AH187">
        <v>0</v>
      </c>
      <c r="AI187">
        <v>0</v>
      </c>
    </row>
    <row r="188" spans="1:35" x14ac:dyDescent="0.25">
      <c r="A188">
        <f>novatel_oem615[[#This Row],[GPS_WEEKS]]*604800+novatel_oem615[[#This Row],[GPS_SECONDS]]+novatel_oem615[[#This Row],[GPS_FRAC_SECS]]</f>
        <v>206387103.42199999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v>-2521000</v>
      </c>
      <c r="M188">
        <v>-6272000</v>
      </c>
      <c r="N188">
        <v>495200</v>
      </c>
      <c r="O188">
        <v>4101</v>
      </c>
      <c r="P188">
        <v>-1169</v>
      </c>
      <c r="Q188">
        <v>6016</v>
      </c>
      <c r="R188">
        <v>4.0257096289999996</v>
      </c>
      <c r="S188">
        <v>-112.0340271</v>
      </c>
      <c r="T188">
        <v>399978.8125</v>
      </c>
      <c r="AC188">
        <v>1</v>
      </c>
      <c r="AD188">
        <f t="shared" si="6"/>
        <v>0</v>
      </c>
      <c r="AE188">
        <f t="shared" si="7"/>
        <v>3</v>
      </c>
      <c r="AF188">
        <f t="shared" si="8"/>
        <v>0</v>
      </c>
      <c r="AG188">
        <v>0</v>
      </c>
      <c r="AH188">
        <v>0</v>
      </c>
      <c r="AI188">
        <v>0</v>
      </c>
    </row>
    <row r="189" spans="1:35" x14ac:dyDescent="0.25">
      <c r="A189">
        <f>novatel_oem615[[#This Row],[GPS_WEEKS]]*604800+novatel_oem615[[#This Row],[GPS_SECONDS]]+novatel_oem615[[#This Row],[GPS_FRAC_SECS]]</f>
        <v>206387103.42199999</v>
      </c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L189">
        <v>-2521000</v>
      </c>
      <c r="M189">
        <v>-6272000</v>
      </c>
      <c r="N189">
        <v>495200</v>
      </c>
      <c r="O189">
        <v>4101</v>
      </c>
      <c r="P189">
        <v>-1169</v>
      </c>
      <c r="Q189">
        <v>6016</v>
      </c>
      <c r="R189">
        <v>4.0257096289999996</v>
      </c>
      <c r="S189">
        <v>-112.0340271</v>
      </c>
      <c r="T189">
        <v>399978.8125</v>
      </c>
      <c r="AC189">
        <v>1</v>
      </c>
      <c r="AD189">
        <f t="shared" si="6"/>
        <v>0</v>
      </c>
      <c r="AE189">
        <f t="shared" si="7"/>
        <v>3</v>
      </c>
      <c r="AF189">
        <f t="shared" si="8"/>
        <v>0</v>
      </c>
      <c r="AG189">
        <v>0</v>
      </c>
      <c r="AH189">
        <v>0</v>
      </c>
      <c r="AI189">
        <v>0</v>
      </c>
    </row>
    <row r="190" spans="1:35" x14ac:dyDescent="0.25">
      <c r="A190">
        <f>novatel_oem615[[#This Row],[GPS_WEEKS]]*604800+novatel_oem615[[#This Row],[GPS_SECONDS]]+novatel_oem615[[#This Row],[GPS_FRAC_SECS]]</f>
        <v>206387103.42199999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-2521000</v>
      </c>
      <c r="M190">
        <v>-6272000</v>
      </c>
      <c r="N190">
        <v>495200</v>
      </c>
      <c r="O190">
        <v>4101</v>
      </c>
      <c r="P190">
        <v>-1169</v>
      </c>
      <c r="Q190">
        <v>6016</v>
      </c>
      <c r="R190">
        <v>4.0257096289999996</v>
      </c>
      <c r="S190">
        <v>-112.0340271</v>
      </c>
      <c r="T190">
        <v>399978.8125</v>
      </c>
      <c r="AC190">
        <v>1</v>
      </c>
      <c r="AD190">
        <f t="shared" si="6"/>
        <v>0</v>
      </c>
      <c r="AE190">
        <f t="shared" si="7"/>
        <v>3</v>
      </c>
      <c r="AF190">
        <f t="shared" si="8"/>
        <v>0</v>
      </c>
      <c r="AG190">
        <v>0</v>
      </c>
      <c r="AH190">
        <v>0</v>
      </c>
      <c r="AI190">
        <v>0</v>
      </c>
    </row>
    <row r="191" spans="1:35" x14ac:dyDescent="0.25">
      <c r="A191">
        <f>novatel_oem615[[#This Row],[GPS_WEEKS]]*604800+novatel_oem615[[#This Row],[GPS_SECONDS]]+novatel_oem615[[#This Row],[GPS_FRAC_SECS]]</f>
        <v>206387103.42199999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L191">
        <v>-2521000</v>
      </c>
      <c r="M191">
        <v>-6272000</v>
      </c>
      <c r="N191">
        <v>495200</v>
      </c>
      <c r="O191">
        <v>4101</v>
      </c>
      <c r="P191">
        <v>-1169</v>
      </c>
      <c r="Q191">
        <v>6016</v>
      </c>
      <c r="R191">
        <v>4.0257096289999996</v>
      </c>
      <c r="S191">
        <v>-112.0340271</v>
      </c>
      <c r="T191">
        <v>399978.8125</v>
      </c>
      <c r="AC191">
        <v>1</v>
      </c>
      <c r="AD191">
        <f t="shared" si="6"/>
        <v>0</v>
      </c>
      <c r="AE191">
        <f t="shared" si="7"/>
        <v>3</v>
      </c>
      <c r="AF191">
        <f t="shared" si="8"/>
        <v>0</v>
      </c>
      <c r="AG191">
        <v>0</v>
      </c>
      <c r="AH191">
        <v>0</v>
      </c>
      <c r="AI191">
        <v>0</v>
      </c>
    </row>
    <row r="192" spans="1:35" x14ac:dyDescent="0.25">
      <c r="A192">
        <f>novatel_oem615[[#This Row],[GPS_WEEKS]]*604800+novatel_oem615[[#This Row],[GPS_SECONDS]]+novatel_oem615[[#This Row],[GPS_FRAC_SECS]]</f>
        <v>206387103.42199999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L192">
        <v>-2521000</v>
      </c>
      <c r="M192">
        <v>-6272000</v>
      </c>
      <c r="N192">
        <v>495200</v>
      </c>
      <c r="O192">
        <v>4101</v>
      </c>
      <c r="P192">
        <v>-1169</v>
      </c>
      <c r="Q192">
        <v>6016</v>
      </c>
      <c r="R192">
        <v>4.0257096289999996</v>
      </c>
      <c r="S192">
        <v>-112.0340271</v>
      </c>
      <c r="T192">
        <v>399978.8125</v>
      </c>
      <c r="AC192">
        <v>1</v>
      </c>
      <c r="AD192">
        <f t="shared" si="6"/>
        <v>0</v>
      </c>
      <c r="AE192">
        <f t="shared" si="7"/>
        <v>3</v>
      </c>
      <c r="AF192">
        <f t="shared" si="8"/>
        <v>0</v>
      </c>
      <c r="AG192">
        <v>0</v>
      </c>
      <c r="AH192">
        <v>0</v>
      </c>
      <c r="AI192">
        <v>0</v>
      </c>
    </row>
    <row r="193" spans="1:35" x14ac:dyDescent="0.25">
      <c r="A193">
        <f>novatel_oem615[[#This Row],[GPS_WEEKS]]*604800+novatel_oem615[[#This Row],[GPS_SECONDS]]+novatel_oem615[[#This Row],[GPS_FRAC_SECS]]</f>
        <v>206387103.42199999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>
        <v>-2521000</v>
      </c>
      <c r="M193">
        <v>-6272000</v>
      </c>
      <c r="N193">
        <v>495200</v>
      </c>
      <c r="O193">
        <v>4101</v>
      </c>
      <c r="P193">
        <v>-1169</v>
      </c>
      <c r="Q193">
        <v>6016</v>
      </c>
      <c r="R193">
        <v>4.0257096289999996</v>
      </c>
      <c r="S193">
        <v>-112.0340271</v>
      </c>
      <c r="T193">
        <v>399978.8125</v>
      </c>
      <c r="AC193">
        <v>1</v>
      </c>
      <c r="AD193">
        <f t="shared" si="6"/>
        <v>0</v>
      </c>
      <c r="AE193">
        <f t="shared" si="7"/>
        <v>3</v>
      </c>
      <c r="AF193">
        <f t="shared" si="8"/>
        <v>0</v>
      </c>
      <c r="AG193">
        <v>0</v>
      </c>
      <c r="AH193">
        <v>0</v>
      </c>
      <c r="AI193">
        <v>0</v>
      </c>
    </row>
    <row r="194" spans="1:35" x14ac:dyDescent="0.25">
      <c r="A194">
        <f>novatel_oem615[[#This Row],[GPS_WEEKS]]*604800+novatel_oem615[[#This Row],[GPS_SECONDS]]+novatel_oem615[[#This Row],[GPS_FRAC_SECS]]</f>
        <v>206387103.42199999</v>
      </c>
      <c r="B194">
        <v>1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L194">
        <v>-2521000</v>
      </c>
      <c r="M194">
        <v>-6272000</v>
      </c>
      <c r="N194">
        <v>495200</v>
      </c>
      <c r="O194">
        <v>4101</v>
      </c>
      <c r="P194">
        <v>-1169</v>
      </c>
      <c r="Q194">
        <v>6016</v>
      </c>
      <c r="R194">
        <v>4.0257096289999996</v>
      </c>
      <c r="S194">
        <v>-112.0340271</v>
      </c>
      <c r="T194">
        <v>399978.8125</v>
      </c>
      <c r="AC194">
        <v>1</v>
      </c>
      <c r="AD194">
        <f t="shared" si="6"/>
        <v>0</v>
      </c>
      <c r="AE194">
        <f t="shared" si="7"/>
        <v>3</v>
      </c>
      <c r="AF194">
        <f t="shared" si="8"/>
        <v>0</v>
      </c>
      <c r="AG194">
        <v>0</v>
      </c>
      <c r="AH194">
        <v>0</v>
      </c>
      <c r="AI194">
        <v>0</v>
      </c>
    </row>
    <row r="195" spans="1:35" x14ac:dyDescent="0.25">
      <c r="A195">
        <f>novatel_oem615[[#This Row],[GPS_WEEKS]]*604800+novatel_oem615[[#This Row],[GPS_SECONDS]]+novatel_oem615[[#This Row],[GPS_FRAC_SECS]]</f>
        <v>206387103.42199999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L195">
        <v>-2521000</v>
      </c>
      <c r="M195">
        <v>-6272000</v>
      </c>
      <c r="N195">
        <v>495200</v>
      </c>
      <c r="O195">
        <v>4101</v>
      </c>
      <c r="P195">
        <v>-1169</v>
      </c>
      <c r="Q195">
        <v>6016</v>
      </c>
      <c r="R195">
        <v>4.0257096289999996</v>
      </c>
      <c r="S195">
        <v>-112.0340271</v>
      </c>
      <c r="T195">
        <v>399978.8125</v>
      </c>
      <c r="AC195">
        <v>1</v>
      </c>
      <c r="AD195">
        <f t="shared" ref="AD195:AD258" si="9">2*C195</f>
        <v>0</v>
      </c>
      <c r="AE195">
        <f t="shared" ref="AE195:AE258" si="10">3*D195</f>
        <v>3</v>
      </c>
      <c r="AF195">
        <f t="shared" ref="AF195:AF258" si="11">4*E195</f>
        <v>0</v>
      </c>
      <c r="AG195">
        <v>0</v>
      </c>
      <c r="AH195">
        <v>0</v>
      </c>
      <c r="AI195">
        <v>0</v>
      </c>
    </row>
    <row r="196" spans="1:35" x14ac:dyDescent="0.25">
      <c r="A196">
        <f>novatel_oem615[[#This Row],[GPS_WEEKS]]*604800+novatel_oem615[[#This Row],[GPS_SECONDS]]+novatel_oem615[[#This Row],[GPS_FRAC_SECS]]</f>
        <v>206387103.42199999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L196">
        <v>-2521000</v>
      </c>
      <c r="M196">
        <v>-6272000</v>
      </c>
      <c r="N196">
        <v>495200</v>
      </c>
      <c r="O196">
        <v>4101</v>
      </c>
      <c r="P196">
        <v>-1169</v>
      </c>
      <c r="Q196">
        <v>6016</v>
      </c>
      <c r="R196">
        <v>4.0257096289999996</v>
      </c>
      <c r="S196">
        <v>-112.0340271</v>
      </c>
      <c r="T196">
        <v>399978.8125</v>
      </c>
      <c r="AC196">
        <v>1</v>
      </c>
      <c r="AD196">
        <f t="shared" si="9"/>
        <v>0</v>
      </c>
      <c r="AE196">
        <f t="shared" si="10"/>
        <v>3</v>
      </c>
      <c r="AF196">
        <f t="shared" si="11"/>
        <v>0</v>
      </c>
      <c r="AG196">
        <v>0</v>
      </c>
      <c r="AH196">
        <v>0</v>
      </c>
      <c r="AI196">
        <v>0</v>
      </c>
    </row>
    <row r="197" spans="1:35" x14ac:dyDescent="0.25">
      <c r="A197">
        <f>novatel_oem615[[#This Row],[GPS_WEEKS]]*604800+novatel_oem615[[#This Row],[GPS_SECONDS]]+novatel_oem615[[#This Row],[GPS_FRAC_SECS]]</f>
        <v>206387103.42199999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L197">
        <v>-2521000</v>
      </c>
      <c r="M197">
        <v>-6272000</v>
      </c>
      <c r="N197">
        <v>495200</v>
      </c>
      <c r="O197">
        <v>4101</v>
      </c>
      <c r="P197">
        <v>-1169</v>
      </c>
      <c r="Q197">
        <v>6016</v>
      </c>
      <c r="R197">
        <v>4.0257096289999996</v>
      </c>
      <c r="S197">
        <v>-112.0340271</v>
      </c>
      <c r="T197">
        <v>399978.8125</v>
      </c>
      <c r="AC197">
        <v>1</v>
      </c>
      <c r="AD197">
        <f t="shared" si="9"/>
        <v>0</v>
      </c>
      <c r="AE197">
        <f t="shared" si="10"/>
        <v>3</v>
      </c>
      <c r="AF197">
        <f t="shared" si="11"/>
        <v>0</v>
      </c>
      <c r="AG197">
        <v>0</v>
      </c>
      <c r="AH197">
        <v>0</v>
      </c>
      <c r="AI197">
        <v>0</v>
      </c>
    </row>
    <row r="198" spans="1:35" x14ac:dyDescent="0.25">
      <c r="A198">
        <f>novatel_oem615[[#This Row],[GPS_WEEKS]]*604800+novatel_oem615[[#This Row],[GPS_SECONDS]]+novatel_oem615[[#This Row],[GPS_FRAC_SECS]]</f>
        <v>206387103.42199999</v>
      </c>
      <c r="B198">
        <v>1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L198">
        <v>-2521000</v>
      </c>
      <c r="M198">
        <v>-6272000</v>
      </c>
      <c r="N198">
        <v>495200</v>
      </c>
      <c r="O198">
        <v>4101</v>
      </c>
      <c r="P198">
        <v>-1169</v>
      </c>
      <c r="Q198">
        <v>6016</v>
      </c>
      <c r="R198">
        <v>4.0257096289999996</v>
      </c>
      <c r="S198">
        <v>-112.0340271</v>
      </c>
      <c r="T198">
        <v>399978.8125</v>
      </c>
      <c r="AC198">
        <v>1</v>
      </c>
      <c r="AD198">
        <f t="shared" si="9"/>
        <v>0</v>
      </c>
      <c r="AE198">
        <f t="shared" si="10"/>
        <v>3</v>
      </c>
      <c r="AF198">
        <f t="shared" si="11"/>
        <v>0</v>
      </c>
      <c r="AG198">
        <v>0</v>
      </c>
      <c r="AH198">
        <v>0</v>
      </c>
      <c r="AI198">
        <v>0</v>
      </c>
    </row>
    <row r="199" spans="1:35" x14ac:dyDescent="0.25">
      <c r="A199">
        <f>novatel_oem615[[#This Row],[GPS_WEEKS]]*604800+novatel_oem615[[#This Row],[GPS_SECONDS]]+novatel_oem615[[#This Row],[GPS_FRAC_SECS]]</f>
        <v>206387103.42199999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-2521000</v>
      </c>
      <c r="M199">
        <v>-6272000</v>
      </c>
      <c r="N199">
        <v>495200</v>
      </c>
      <c r="O199">
        <v>4101</v>
      </c>
      <c r="P199">
        <v>-1169</v>
      </c>
      <c r="Q199">
        <v>6016</v>
      </c>
      <c r="R199">
        <v>4.0257096289999996</v>
      </c>
      <c r="S199">
        <v>-112.0340271</v>
      </c>
      <c r="T199">
        <v>399978.8125</v>
      </c>
      <c r="AC199">
        <v>1</v>
      </c>
      <c r="AD199">
        <f t="shared" si="9"/>
        <v>0</v>
      </c>
      <c r="AE199">
        <f t="shared" si="10"/>
        <v>3</v>
      </c>
      <c r="AF199">
        <f t="shared" si="11"/>
        <v>0</v>
      </c>
      <c r="AG199">
        <v>0</v>
      </c>
      <c r="AH199">
        <v>0</v>
      </c>
      <c r="AI199">
        <v>0</v>
      </c>
    </row>
    <row r="200" spans="1:35" x14ac:dyDescent="0.25">
      <c r="A200">
        <f>novatel_oem615[[#This Row],[GPS_WEEKS]]*604800+novatel_oem615[[#This Row],[GPS_SECONDS]]+novatel_oem615[[#This Row],[GPS_FRAC_SECS]]</f>
        <v>206387103.42199999</v>
      </c>
      <c r="B200">
        <v>1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v>-2521000</v>
      </c>
      <c r="M200">
        <v>-6272000</v>
      </c>
      <c r="N200">
        <v>495200</v>
      </c>
      <c r="O200">
        <v>4101</v>
      </c>
      <c r="P200">
        <v>-1169</v>
      </c>
      <c r="Q200">
        <v>6016</v>
      </c>
      <c r="R200">
        <v>4.0257096289999996</v>
      </c>
      <c r="S200">
        <v>-112.0340271</v>
      </c>
      <c r="T200">
        <v>399978.8125</v>
      </c>
      <c r="AC200">
        <v>1</v>
      </c>
      <c r="AD200">
        <f t="shared" si="9"/>
        <v>0</v>
      </c>
      <c r="AE200">
        <f t="shared" si="10"/>
        <v>3</v>
      </c>
      <c r="AF200">
        <f t="shared" si="11"/>
        <v>0</v>
      </c>
      <c r="AG200">
        <v>0</v>
      </c>
      <c r="AH200">
        <v>0</v>
      </c>
      <c r="AI200">
        <v>0</v>
      </c>
    </row>
    <row r="201" spans="1:35" x14ac:dyDescent="0.25">
      <c r="A201">
        <f>novatel_oem615[[#This Row],[GPS_WEEKS]]*604800+novatel_oem615[[#This Row],[GPS_SECONDS]]+novatel_oem615[[#This Row],[GPS_FRAC_SECS]]</f>
        <v>206387103.42199999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L201">
        <v>-2521000</v>
      </c>
      <c r="M201">
        <v>-6272000</v>
      </c>
      <c r="N201">
        <v>495200</v>
      </c>
      <c r="O201">
        <v>4101</v>
      </c>
      <c r="P201">
        <v>-1169</v>
      </c>
      <c r="Q201">
        <v>6016</v>
      </c>
      <c r="R201">
        <v>4.0257096289999996</v>
      </c>
      <c r="S201">
        <v>-112.0340271</v>
      </c>
      <c r="T201">
        <v>399978.8125</v>
      </c>
      <c r="AC201">
        <v>1</v>
      </c>
      <c r="AD201">
        <f t="shared" si="9"/>
        <v>0</v>
      </c>
      <c r="AE201">
        <f t="shared" si="10"/>
        <v>3</v>
      </c>
      <c r="AF201">
        <f t="shared" si="11"/>
        <v>0</v>
      </c>
      <c r="AG201">
        <v>0</v>
      </c>
      <c r="AH201">
        <v>0</v>
      </c>
      <c r="AI201">
        <v>0</v>
      </c>
    </row>
    <row r="202" spans="1:35" x14ac:dyDescent="0.25">
      <c r="A202">
        <f>novatel_oem615[[#This Row],[GPS_WEEKS]]*604800+novatel_oem615[[#This Row],[GPS_SECONDS]]+novatel_oem615[[#This Row],[GPS_FRAC_SECS]]</f>
        <v>206387103.42199999</v>
      </c>
      <c r="B202">
        <v>1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L202">
        <v>-2521000</v>
      </c>
      <c r="M202">
        <v>-6272000</v>
      </c>
      <c r="N202">
        <v>495200</v>
      </c>
      <c r="O202">
        <v>4101</v>
      </c>
      <c r="P202">
        <v>-1169</v>
      </c>
      <c r="Q202">
        <v>6016</v>
      </c>
      <c r="R202">
        <v>4.0257096289999996</v>
      </c>
      <c r="S202">
        <v>-112.0340271</v>
      </c>
      <c r="T202">
        <v>399978.8125</v>
      </c>
      <c r="AC202">
        <v>1</v>
      </c>
      <c r="AD202">
        <f t="shared" si="9"/>
        <v>0</v>
      </c>
      <c r="AE202">
        <f t="shared" si="10"/>
        <v>3</v>
      </c>
      <c r="AF202">
        <f t="shared" si="11"/>
        <v>0</v>
      </c>
      <c r="AG202">
        <v>0</v>
      </c>
      <c r="AH202">
        <v>0</v>
      </c>
      <c r="AI202">
        <v>0</v>
      </c>
    </row>
    <row r="203" spans="1:35" x14ac:dyDescent="0.25">
      <c r="A203">
        <f>novatel_oem615[[#This Row],[GPS_WEEKS]]*604800+novatel_oem615[[#This Row],[GPS_SECONDS]]+novatel_oem615[[#This Row],[GPS_FRAC_SECS]]</f>
        <v>206387103.42199999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L203">
        <v>-2521000</v>
      </c>
      <c r="M203">
        <v>-6272000</v>
      </c>
      <c r="N203">
        <v>495200</v>
      </c>
      <c r="O203">
        <v>4101</v>
      </c>
      <c r="P203">
        <v>-1169</v>
      </c>
      <c r="Q203">
        <v>6016</v>
      </c>
      <c r="R203">
        <v>4.0257096289999996</v>
      </c>
      <c r="S203">
        <v>-112.0340271</v>
      </c>
      <c r="T203">
        <v>399978.8125</v>
      </c>
      <c r="AC203">
        <v>1</v>
      </c>
      <c r="AD203">
        <f t="shared" si="9"/>
        <v>0</v>
      </c>
      <c r="AE203">
        <f t="shared" si="10"/>
        <v>3</v>
      </c>
      <c r="AF203">
        <f t="shared" si="11"/>
        <v>0</v>
      </c>
      <c r="AG203">
        <v>0</v>
      </c>
      <c r="AH203">
        <v>0</v>
      </c>
      <c r="AI203">
        <v>0</v>
      </c>
    </row>
    <row r="204" spans="1:35" x14ac:dyDescent="0.25">
      <c r="A204">
        <f>novatel_oem615[[#This Row],[GPS_WEEKS]]*604800+novatel_oem615[[#This Row],[GPS_SECONDS]]+novatel_oem615[[#This Row],[GPS_FRAC_SECS]]</f>
        <v>206387103.42199999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L204">
        <v>-2521000</v>
      </c>
      <c r="M204">
        <v>-6272000</v>
      </c>
      <c r="N204">
        <v>495200</v>
      </c>
      <c r="O204">
        <v>4101</v>
      </c>
      <c r="P204">
        <v>-1169</v>
      </c>
      <c r="Q204">
        <v>6016</v>
      </c>
      <c r="R204">
        <v>4.0257096289999996</v>
      </c>
      <c r="S204">
        <v>-112.0340271</v>
      </c>
      <c r="T204">
        <v>399978.8125</v>
      </c>
      <c r="AC204">
        <v>1</v>
      </c>
      <c r="AD204">
        <f t="shared" si="9"/>
        <v>0</v>
      </c>
      <c r="AE204">
        <f t="shared" si="10"/>
        <v>3</v>
      </c>
      <c r="AF204">
        <f t="shared" si="11"/>
        <v>0</v>
      </c>
      <c r="AG204">
        <v>0</v>
      </c>
      <c r="AH204">
        <v>0</v>
      </c>
      <c r="AI204">
        <v>0</v>
      </c>
    </row>
    <row r="205" spans="1:35" x14ac:dyDescent="0.25">
      <c r="A205">
        <f>novatel_oem615[[#This Row],[GPS_WEEKS]]*604800+novatel_oem615[[#This Row],[GPS_SECONDS]]+novatel_oem615[[#This Row],[GPS_FRAC_SECS]]</f>
        <v>206387103.42199999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-2521000</v>
      </c>
      <c r="M205">
        <v>-6272000</v>
      </c>
      <c r="N205">
        <v>495200</v>
      </c>
      <c r="O205">
        <v>4101</v>
      </c>
      <c r="P205">
        <v>-1169</v>
      </c>
      <c r="Q205">
        <v>6016</v>
      </c>
      <c r="R205">
        <v>4.0257096289999996</v>
      </c>
      <c r="S205">
        <v>-112.0340271</v>
      </c>
      <c r="T205">
        <v>399978.8125</v>
      </c>
      <c r="AC205">
        <v>1</v>
      </c>
      <c r="AD205">
        <f t="shared" si="9"/>
        <v>0</v>
      </c>
      <c r="AE205">
        <f t="shared" si="10"/>
        <v>3</v>
      </c>
      <c r="AF205">
        <f t="shared" si="11"/>
        <v>0</v>
      </c>
      <c r="AG205">
        <v>0</v>
      </c>
      <c r="AH205">
        <v>0</v>
      </c>
      <c r="AI205">
        <v>0</v>
      </c>
    </row>
    <row r="206" spans="1:35" x14ac:dyDescent="0.25">
      <c r="A206">
        <f>novatel_oem615[[#This Row],[GPS_WEEKS]]*604800+novatel_oem615[[#This Row],[GPS_SECONDS]]+novatel_oem615[[#This Row],[GPS_FRAC_SECS]]</f>
        <v>206387103.42199999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L206">
        <v>-2521000</v>
      </c>
      <c r="M206">
        <v>-6272000</v>
      </c>
      <c r="N206">
        <v>495200</v>
      </c>
      <c r="O206">
        <v>4101</v>
      </c>
      <c r="P206">
        <v>-1169</v>
      </c>
      <c r="Q206">
        <v>6016</v>
      </c>
      <c r="R206">
        <v>4.0257096289999996</v>
      </c>
      <c r="S206">
        <v>-112.0340271</v>
      </c>
      <c r="T206">
        <v>399978.8125</v>
      </c>
      <c r="AC206">
        <v>1</v>
      </c>
      <c r="AD206">
        <f t="shared" si="9"/>
        <v>0</v>
      </c>
      <c r="AE206">
        <f t="shared" si="10"/>
        <v>3</v>
      </c>
      <c r="AF206">
        <f t="shared" si="11"/>
        <v>0</v>
      </c>
      <c r="AG206">
        <v>0</v>
      </c>
      <c r="AH206">
        <v>0</v>
      </c>
      <c r="AI206">
        <v>0</v>
      </c>
    </row>
    <row r="207" spans="1:35" x14ac:dyDescent="0.25">
      <c r="A207">
        <f>novatel_oem615[[#This Row],[GPS_WEEKS]]*604800+novatel_oem615[[#This Row],[GPS_SECONDS]]+novatel_oem615[[#This Row],[GPS_FRAC_SECS]]</f>
        <v>206387103.42199999</v>
      </c>
      <c r="B207">
        <v>1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L207">
        <v>-2521000</v>
      </c>
      <c r="M207">
        <v>-6272000</v>
      </c>
      <c r="N207">
        <v>495200</v>
      </c>
      <c r="O207">
        <v>4101</v>
      </c>
      <c r="P207">
        <v>-1169</v>
      </c>
      <c r="Q207">
        <v>6016</v>
      </c>
      <c r="R207">
        <v>4.0257096289999996</v>
      </c>
      <c r="S207">
        <v>-112.0340271</v>
      </c>
      <c r="T207">
        <v>399978.8125</v>
      </c>
      <c r="AC207">
        <v>1</v>
      </c>
      <c r="AD207">
        <f t="shared" si="9"/>
        <v>0</v>
      </c>
      <c r="AE207">
        <f t="shared" si="10"/>
        <v>3</v>
      </c>
      <c r="AF207">
        <f t="shared" si="11"/>
        <v>0</v>
      </c>
      <c r="AG207">
        <v>0</v>
      </c>
      <c r="AH207">
        <v>0</v>
      </c>
      <c r="AI207">
        <v>0</v>
      </c>
    </row>
    <row r="208" spans="1:35" x14ac:dyDescent="0.25">
      <c r="A208">
        <f>novatel_oem615[[#This Row],[GPS_WEEKS]]*604800+novatel_oem615[[#This Row],[GPS_SECONDS]]+novatel_oem615[[#This Row],[GPS_FRAC_SECS]]</f>
        <v>206387103.42199999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L208">
        <v>-2521000</v>
      </c>
      <c r="M208">
        <v>-6272000</v>
      </c>
      <c r="N208">
        <v>495200</v>
      </c>
      <c r="O208">
        <v>4101</v>
      </c>
      <c r="P208">
        <v>-1169</v>
      </c>
      <c r="Q208">
        <v>6016</v>
      </c>
      <c r="R208">
        <v>4.0257096289999996</v>
      </c>
      <c r="S208">
        <v>-112.0340271</v>
      </c>
      <c r="T208">
        <v>399978.8125</v>
      </c>
      <c r="AC208">
        <v>1</v>
      </c>
      <c r="AD208">
        <f t="shared" si="9"/>
        <v>0</v>
      </c>
      <c r="AE208">
        <f t="shared" si="10"/>
        <v>0</v>
      </c>
      <c r="AF208">
        <f t="shared" si="11"/>
        <v>0</v>
      </c>
      <c r="AG208">
        <v>0</v>
      </c>
      <c r="AH208">
        <v>0</v>
      </c>
      <c r="AI208">
        <v>0</v>
      </c>
    </row>
    <row r="209" spans="1:35" x14ac:dyDescent="0.25">
      <c r="A209">
        <f>novatel_oem615[[#This Row],[GPS_WEEKS]]*604800+novatel_oem615[[#This Row],[GPS_SECONDS]]+novatel_oem615[[#This Row],[GPS_FRAC_SECS]]</f>
        <v>206387103.42199999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-2521000</v>
      </c>
      <c r="M209">
        <v>-6272000</v>
      </c>
      <c r="N209">
        <v>495200</v>
      </c>
      <c r="O209">
        <v>4101</v>
      </c>
      <c r="P209">
        <v>-1169</v>
      </c>
      <c r="Q209">
        <v>6016</v>
      </c>
      <c r="R209">
        <v>4.0257096289999996</v>
      </c>
      <c r="S209">
        <v>-112.0340271</v>
      </c>
      <c r="T209">
        <v>399978.8125</v>
      </c>
      <c r="AC209">
        <v>0</v>
      </c>
      <c r="AD209">
        <f t="shared" si="9"/>
        <v>0</v>
      </c>
      <c r="AE209">
        <f t="shared" si="10"/>
        <v>0</v>
      </c>
      <c r="AF209">
        <f t="shared" si="11"/>
        <v>0</v>
      </c>
      <c r="AG209">
        <v>0</v>
      </c>
      <c r="AH209">
        <v>0</v>
      </c>
      <c r="AI209">
        <v>0</v>
      </c>
    </row>
    <row r="210" spans="1:35" x14ac:dyDescent="0.25">
      <c r="A210">
        <f>novatel_oem615[[#This Row],[GPS_WEEKS]]*604800+novatel_oem615[[#This Row],[GPS_SECONDS]]+novatel_oem615[[#This Row],[GPS_FRAC_SECS]]</f>
        <v>206387135.67199999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-2389000</v>
      </c>
      <c r="M210">
        <v>-6306000</v>
      </c>
      <c r="N210">
        <v>687300</v>
      </c>
      <c r="O210">
        <v>4197</v>
      </c>
      <c r="P210">
        <v>-930</v>
      </c>
      <c r="Q210">
        <v>5992</v>
      </c>
      <c r="R210">
        <v>4.0257096289999996</v>
      </c>
      <c r="S210">
        <v>-112.0340271</v>
      </c>
      <c r="T210">
        <v>399978.8125</v>
      </c>
      <c r="AC210">
        <v>0</v>
      </c>
      <c r="AD210">
        <f t="shared" si="9"/>
        <v>0</v>
      </c>
      <c r="AE210">
        <f t="shared" si="10"/>
        <v>0</v>
      </c>
      <c r="AF210">
        <f t="shared" si="11"/>
        <v>0</v>
      </c>
      <c r="AG210">
        <v>0</v>
      </c>
      <c r="AH210">
        <v>0</v>
      </c>
      <c r="AI210">
        <v>0</v>
      </c>
    </row>
    <row r="211" spans="1:35" x14ac:dyDescent="0.25">
      <c r="A211">
        <f>novatel_oem615[[#This Row],[GPS_WEEKS]]*604800+novatel_oem615[[#This Row],[GPS_SECONDS]]+novatel_oem615[[#This Row],[GPS_FRAC_SECS]]</f>
        <v>206387135.92199999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L211">
        <v>-2388000</v>
      </c>
      <c r="M211">
        <v>-6306000</v>
      </c>
      <c r="N211">
        <v>688800</v>
      </c>
      <c r="O211">
        <v>4198</v>
      </c>
      <c r="P211">
        <v>-928</v>
      </c>
      <c r="Q211">
        <v>5992</v>
      </c>
      <c r="R211">
        <v>4.0257096289999996</v>
      </c>
      <c r="S211">
        <v>-112.0340271</v>
      </c>
      <c r="T211">
        <v>399978.8125</v>
      </c>
      <c r="AC211">
        <v>0</v>
      </c>
      <c r="AD211">
        <f t="shared" si="9"/>
        <v>0</v>
      </c>
      <c r="AE211">
        <f t="shared" si="10"/>
        <v>0</v>
      </c>
      <c r="AF211">
        <f t="shared" si="11"/>
        <v>0</v>
      </c>
      <c r="AG211">
        <v>0</v>
      </c>
      <c r="AH211">
        <v>0</v>
      </c>
      <c r="AI211">
        <v>0</v>
      </c>
    </row>
    <row r="212" spans="1:35" x14ac:dyDescent="0.25">
      <c r="A212">
        <f>novatel_oem615[[#This Row],[GPS_WEEKS]]*604800+novatel_oem615[[#This Row],[GPS_SECONDS]]+novatel_oem615[[#This Row],[GPS_FRAC_SECS]]</f>
        <v>206387136.17199999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L212">
        <v>-2387000</v>
      </c>
      <c r="M212">
        <v>-6306000</v>
      </c>
      <c r="N212">
        <v>690300</v>
      </c>
      <c r="O212">
        <v>4199</v>
      </c>
      <c r="P212">
        <v>-926</v>
      </c>
      <c r="Q212">
        <v>5992</v>
      </c>
      <c r="R212">
        <v>4.0257096289999996</v>
      </c>
      <c r="S212">
        <v>-112.0340271</v>
      </c>
      <c r="T212">
        <v>399978.8125</v>
      </c>
      <c r="AC212">
        <v>0</v>
      </c>
      <c r="AD212">
        <f t="shared" si="9"/>
        <v>0</v>
      </c>
      <c r="AE212">
        <f t="shared" si="10"/>
        <v>0</v>
      </c>
      <c r="AF212">
        <f t="shared" si="11"/>
        <v>0</v>
      </c>
      <c r="AG212">
        <v>0</v>
      </c>
      <c r="AH212">
        <v>0</v>
      </c>
      <c r="AI212">
        <v>0</v>
      </c>
    </row>
    <row r="213" spans="1:35" x14ac:dyDescent="0.25">
      <c r="A213">
        <f>novatel_oem615[[#This Row],[GPS_WEEKS]]*604800+novatel_oem615[[#This Row],[GPS_SECONDS]]+novatel_oem615[[#This Row],[GPS_FRAC_SECS]]</f>
        <v>206387136.42199999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L213">
        <v>-2386000</v>
      </c>
      <c r="M213">
        <v>-6306000</v>
      </c>
      <c r="N213">
        <v>691800</v>
      </c>
      <c r="O213">
        <v>4200</v>
      </c>
      <c r="P213">
        <v>-924</v>
      </c>
      <c r="Q213">
        <v>5991</v>
      </c>
      <c r="R213">
        <v>4.0257096289999996</v>
      </c>
      <c r="S213">
        <v>-112.0340271</v>
      </c>
      <c r="T213">
        <v>399978.8125</v>
      </c>
      <c r="AC213">
        <v>0</v>
      </c>
      <c r="AD213">
        <f t="shared" si="9"/>
        <v>0</v>
      </c>
      <c r="AE213">
        <f t="shared" si="10"/>
        <v>0</v>
      </c>
      <c r="AF213">
        <f t="shared" si="11"/>
        <v>0</v>
      </c>
      <c r="AG213">
        <v>0</v>
      </c>
      <c r="AH213">
        <v>0</v>
      </c>
      <c r="AI213">
        <v>0</v>
      </c>
    </row>
    <row r="214" spans="1:35" x14ac:dyDescent="0.25">
      <c r="A214">
        <f>novatel_oem615[[#This Row],[GPS_WEEKS]]*604800+novatel_oem615[[#This Row],[GPS_SECONDS]]+novatel_oem615[[#This Row],[GPS_FRAC_SECS]]</f>
        <v>206387136.67199999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L214">
        <v>-2385000</v>
      </c>
      <c r="M214">
        <v>-6306000</v>
      </c>
      <c r="N214">
        <v>693300</v>
      </c>
      <c r="O214">
        <v>4200</v>
      </c>
      <c r="P214">
        <v>-922</v>
      </c>
      <c r="Q214">
        <v>5991</v>
      </c>
      <c r="R214">
        <v>4.0257096289999996</v>
      </c>
      <c r="S214">
        <v>-112.0340271</v>
      </c>
      <c r="T214">
        <v>399978.8125</v>
      </c>
      <c r="AC214">
        <v>0</v>
      </c>
      <c r="AD214">
        <f t="shared" si="9"/>
        <v>0</v>
      </c>
      <c r="AE214">
        <f t="shared" si="10"/>
        <v>0</v>
      </c>
      <c r="AF214">
        <f t="shared" si="11"/>
        <v>0</v>
      </c>
      <c r="AG214">
        <v>0</v>
      </c>
      <c r="AH214">
        <v>0</v>
      </c>
      <c r="AI214">
        <v>0</v>
      </c>
    </row>
    <row r="215" spans="1:35" x14ac:dyDescent="0.25">
      <c r="A215">
        <f>novatel_oem615[[#This Row],[GPS_WEEKS]]*604800+novatel_oem615[[#This Row],[GPS_SECONDS]]+novatel_oem615[[#This Row],[GPS_FRAC_SECS]]</f>
        <v>206387136.92199999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L215">
        <v>-2384000</v>
      </c>
      <c r="M215">
        <v>-6307000</v>
      </c>
      <c r="N215">
        <v>694800</v>
      </c>
      <c r="O215">
        <v>4201</v>
      </c>
      <c r="P215">
        <v>-920</v>
      </c>
      <c r="Q215">
        <v>5991</v>
      </c>
      <c r="R215">
        <v>4.0257096289999996</v>
      </c>
      <c r="S215">
        <v>-112.0340271</v>
      </c>
      <c r="T215">
        <v>399978.8125</v>
      </c>
      <c r="AC215">
        <v>0</v>
      </c>
      <c r="AD215">
        <f t="shared" si="9"/>
        <v>0</v>
      </c>
      <c r="AE215">
        <f t="shared" si="10"/>
        <v>3</v>
      </c>
      <c r="AF215">
        <f t="shared" si="11"/>
        <v>0</v>
      </c>
      <c r="AG215">
        <v>0</v>
      </c>
      <c r="AH215">
        <v>0</v>
      </c>
      <c r="AI215">
        <v>0</v>
      </c>
    </row>
    <row r="216" spans="1:35" x14ac:dyDescent="0.25">
      <c r="A216">
        <f>novatel_oem615[[#This Row],[GPS_WEEKS]]*604800+novatel_oem615[[#This Row],[GPS_SECONDS]]+novatel_oem615[[#This Row],[GPS_FRAC_SECS]]</f>
        <v>206387137.17199999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L216">
        <v>-2383000</v>
      </c>
      <c r="M216">
        <v>-6307000</v>
      </c>
      <c r="N216">
        <v>696200</v>
      </c>
      <c r="O216">
        <v>4202</v>
      </c>
      <c r="P216">
        <v>-918</v>
      </c>
      <c r="Q216">
        <v>5991</v>
      </c>
      <c r="R216">
        <v>4.0257096289999996</v>
      </c>
      <c r="S216">
        <v>-112.0340271</v>
      </c>
      <c r="T216">
        <v>399978.8125</v>
      </c>
      <c r="AC216">
        <v>1</v>
      </c>
      <c r="AD216">
        <f t="shared" si="9"/>
        <v>0</v>
      </c>
      <c r="AE216">
        <f t="shared" si="10"/>
        <v>3</v>
      </c>
      <c r="AF216">
        <f t="shared" si="11"/>
        <v>0</v>
      </c>
      <c r="AG216">
        <v>0</v>
      </c>
      <c r="AH216">
        <v>0</v>
      </c>
      <c r="AI216">
        <v>0</v>
      </c>
    </row>
    <row r="217" spans="1:35" x14ac:dyDescent="0.25">
      <c r="A217">
        <f>novatel_oem615[[#This Row],[GPS_WEEKS]]*604800+novatel_oem615[[#This Row],[GPS_SECONDS]]+novatel_oem615[[#This Row],[GPS_FRAC_SECS]]</f>
        <v>206387137.42199999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L217">
        <v>-2382000</v>
      </c>
      <c r="M217">
        <v>-6307000</v>
      </c>
      <c r="N217">
        <v>697700</v>
      </c>
      <c r="O217">
        <v>4202</v>
      </c>
      <c r="P217">
        <v>-917</v>
      </c>
      <c r="Q217">
        <v>5991</v>
      </c>
      <c r="R217">
        <v>4.0257096289999996</v>
      </c>
      <c r="S217">
        <v>-112.0340271</v>
      </c>
      <c r="T217">
        <v>399978.8125</v>
      </c>
      <c r="AC217">
        <v>1</v>
      </c>
      <c r="AD217">
        <f t="shared" si="9"/>
        <v>0</v>
      </c>
      <c r="AE217">
        <f t="shared" si="10"/>
        <v>3</v>
      </c>
      <c r="AF217">
        <f t="shared" si="11"/>
        <v>0</v>
      </c>
      <c r="AG217">
        <v>0</v>
      </c>
      <c r="AH217">
        <v>0</v>
      </c>
      <c r="AI217">
        <v>0</v>
      </c>
    </row>
    <row r="218" spans="1:35" x14ac:dyDescent="0.25">
      <c r="A218">
        <f>novatel_oem615[[#This Row],[GPS_WEEKS]]*604800+novatel_oem615[[#This Row],[GPS_SECONDS]]+novatel_oem615[[#This Row],[GPS_FRAC_SECS]]</f>
        <v>206387137.67199999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L218">
        <v>-2380000</v>
      </c>
      <c r="M218">
        <v>-6307000</v>
      </c>
      <c r="N218">
        <v>699200</v>
      </c>
      <c r="O218">
        <v>4203</v>
      </c>
      <c r="P218">
        <v>-915</v>
      </c>
      <c r="Q218">
        <v>5990</v>
      </c>
      <c r="R218">
        <v>4.0257096289999996</v>
      </c>
      <c r="S218">
        <v>-112.0340271</v>
      </c>
      <c r="T218">
        <v>399978.8125</v>
      </c>
      <c r="AC218">
        <v>0</v>
      </c>
      <c r="AD218">
        <f t="shared" si="9"/>
        <v>0</v>
      </c>
      <c r="AE218">
        <f t="shared" si="10"/>
        <v>0</v>
      </c>
      <c r="AF218">
        <f t="shared" si="11"/>
        <v>0</v>
      </c>
      <c r="AG218">
        <v>0</v>
      </c>
      <c r="AH218">
        <v>0</v>
      </c>
      <c r="AI218">
        <v>0</v>
      </c>
    </row>
    <row r="219" spans="1:35" x14ac:dyDescent="0.25">
      <c r="A219">
        <f>novatel_oem615[[#This Row],[GPS_WEEKS]]*604800+novatel_oem615[[#This Row],[GPS_SECONDS]]+novatel_oem615[[#This Row],[GPS_FRAC_SECS]]</f>
        <v>206387137.67199999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L219">
        <v>-2380000</v>
      </c>
      <c r="M219">
        <v>-6307000</v>
      </c>
      <c r="N219">
        <v>699200</v>
      </c>
      <c r="O219">
        <v>4203</v>
      </c>
      <c r="P219">
        <v>-915</v>
      </c>
      <c r="Q219">
        <v>5990</v>
      </c>
      <c r="R219">
        <v>5.9713854790000003</v>
      </c>
      <c r="S219">
        <v>-110.66794590000001</v>
      </c>
      <c r="T219">
        <v>399890.3125</v>
      </c>
      <c r="AC219">
        <v>1</v>
      </c>
      <c r="AD219">
        <f t="shared" si="9"/>
        <v>0</v>
      </c>
      <c r="AE219">
        <f t="shared" si="10"/>
        <v>3</v>
      </c>
      <c r="AF219">
        <f t="shared" si="11"/>
        <v>0</v>
      </c>
      <c r="AG219">
        <v>0</v>
      </c>
      <c r="AH219">
        <v>0</v>
      </c>
      <c r="AI219">
        <v>0</v>
      </c>
    </row>
    <row r="220" spans="1:35" x14ac:dyDescent="0.25">
      <c r="A220">
        <f>novatel_oem615[[#This Row],[GPS_WEEKS]]*604800+novatel_oem615[[#This Row],[GPS_SECONDS]]+novatel_oem615[[#This Row],[GPS_FRAC_SECS]]</f>
        <v>206387137.67199999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-2380000</v>
      </c>
      <c r="M220">
        <v>-6307000</v>
      </c>
      <c r="N220">
        <v>699200</v>
      </c>
      <c r="O220">
        <v>4203</v>
      </c>
      <c r="P220">
        <v>-915</v>
      </c>
      <c r="Q220">
        <v>5990</v>
      </c>
      <c r="R220">
        <v>5.983636379</v>
      </c>
      <c r="S220">
        <v>-110.6592941</v>
      </c>
      <c r="T220">
        <v>399890.78129999997</v>
      </c>
      <c r="AC220">
        <v>0</v>
      </c>
      <c r="AD220">
        <f t="shared" si="9"/>
        <v>0</v>
      </c>
      <c r="AE220">
        <f t="shared" si="10"/>
        <v>0</v>
      </c>
      <c r="AF220">
        <f t="shared" si="11"/>
        <v>0</v>
      </c>
      <c r="AG220">
        <v>0</v>
      </c>
      <c r="AH220">
        <v>0</v>
      </c>
      <c r="AI220">
        <v>0</v>
      </c>
    </row>
    <row r="221" spans="1:35" x14ac:dyDescent="0.25">
      <c r="A221">
        <f>novatel_oem615[[#This Row],[GPS_WEEKS]]*604800+novatel_oem615[[#This Row],[GPS_SECONDS]]+novatel_oem615[[#This Row],[GPS_FRAC_SECS]]</f>
        <v>206387138.42199999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-2377000</v>
      </c>
      <c r="M221">
        <v>-6308000</v>
      </c>
      <c r="N221">
        <v>703600</v>
      </c>
      <c r="O221">
        <v>4205</v>
      </c>
      <c r="P221">
        <v>-909</v>
      </c>
      <c r="Q221">
        <v>5990</v>
      </c>
      <c r="R221">
        <v>5.983636379</v>
      </c>
      <c r="S221">
        <v>-110.6592941</v>
      </c>
      <c r="T221">
        <v>399890.78129999997</v>
      </c>
      <c r="AC221">
        <v>0</v>
      </c>
      <c r="AD221">
        <f t="shared" si="9"/>
        <v>0</v>
      </c>
      <c r="AE221">
        <f t="shared" si="10"/>
        <v>0</v>
      </c>
      <c r="AF221">
        <f t="shared" si="11"/>
        <v>0</v>
      </c>
      <c r="AG221">
        <v>0</v>
      </c>
      <c r="AH221">
        <v>0</v>
      </c>
      <c r="AI221">
        <v>0</v>
      </c>
    </row>
    <row r="222" spans="1:35" x14ac:dyDescent="0.25">
      <c r="A222">
        <f>novatel_oem615[[#This Row],[GPS_WEEKS]]*604800+novatel_oem615[[#This Row],[GPS_SECONDS]]+novatel_oem615[[#This Row],[GPS_FRAC_SECS]]</f>
        <v>206387138.42199999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L222">
        <v>-2377000</v>
      </c>
      <c r="M222">
        <v>-6308000</v>
      </c>
      <c r="N222">
        <v>703600</v>
      </c>
      <c r="O222">
        <v>4205</v>
      </c>
      <c r="P222">
        <v>-909</v>
      </c>
      <c r="Q222">
        <v>5990</v>
      </c>
      <c r="R222">
        <v>6.0092201230000004</v>
      </c>
      <c r="S222">
        <v>-110.64121249999999</v>
      </c>
      <c r="T222">
        <v>399881.875</v>
      </c>
      <c r="AC222">
        <v>0</v>
      </c>
      <c r="AD222">
        <f t="shared" si="9"/>
        <v>0</v>
      </c>
      <c r="AE222">
        <f t="shared" si="10"/>
        <v>0</v>
      </c>
      <c r="AF222">
        <f t="shared" si="11"/>
        <v>0</v>
      </c>
      <c r="AG222">
        <v>0</v>
      </c>
      <c r="AH222">
        <v>0</v>
      </c>
      <c r="AI222">
        <v>0</v>
      </c>
    </row>
    <row r="223" spans="1:35" x14ac:dyDescent="0.25">
      <c r="A223">
        <f>novatel_oem615[[#This Row],[GPS_WEEKS]]*604800+novatel_oem615[[#This Row],[GPS_SECONDS]]+novatel_oem615[[#This Row],[GPS_FRAC_SECS]]</f>
        <v>206387138.92199999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L223">
        <v>-2375000</v>
      </c>
      <c r="M223">
        <v>-6309000</v>
      </c>
      <c r="N223">
        <v>706600</v>
      </c>
      <c r="O223">
        <v>4207</v>
      </c>
      <c r="P223">
        <v>-906</v>
      </c>
      <c r="Q223">
        <v>5989</v>
      </c>
      <c r="R223">
        <v>6.0092201230000004</v>
      </c>
      <c r="S223">
        <v>-110.64121249999999</v>
      </c>
      <c r="T223">
        <v>399881.875</v>
      </c>
      <c r="AC223">
        <v>0</v>
      </c>
      <c r="AD223">
        <f t="shared" si="9"/>
        <v>0</v>
      </c>
      <c r="AE223">
        <f t="shared" si="10"/>
        <v>0</v>
      </c>
      <c r="AF223">
        <f t="shared" si="11"/>
        <v>0</v>
      </c>
      <c r="AG223">
        <v>0</v>
      </c>
      <c r="AH223">
        <v>0</v>
      </c>
      <c r="AI223">
        <v>0</v>
      </c>
    </row>
    <row r="224" spans="1:35" x14ac:dyDescent="0.25">
      <c r="A224">
        <f>novatel_oem615[[#This Row],[GPS_WEEKS]]*604800+novatel_oem615[[#This Row],[GPS_SECONDS]]+novatel_oem615[[#This Row],[GPS_FRAC_SECS]]</f>
        <v>206387139.17199999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L224">
        <v>-2374000</v>
      </c>
      <c r="M224">
        <v>-6309000</v>
      </c>
      <c r="N224">
        <v>708100</v>
      </c>
      <c r="O224">
        <v>4207</v>
      </c>
      <c r="P224">
        <v>-904</v>
      </c>
      <c r="Q224">
        <v>5989</v>
      </c>
      <c r="R224">
        <v>6.0092201230000004</v>
      </c>
      <c r="S224">
        <v>-110.64121249999999</v>
      </c>
      <c r="T224">
        <v>399881.875</v>
      </c>
      <c r="AC224">
        <v>0</v>
      </c>
      <c r="AD224">
        <f t="shared" si="9"/>
        <v>0</v>
      </c>
      <c r="AE224">
        <f t="shared" si="10"/>
        <v>0</v>
      </c>
      <c r="AF224">
        <f t="shared" si="11"/>
        <v>0</v>
      </c>
      <c r="AG224">
        <v>0</v>
      </c>
      <c r="AH224">
        <v>0</v>
      </c>
      <c r="AI224">
        <v>0</v>
      </c>
    </row>
    <row r="225" spans="1:35" x14ac:dyDescent="0.25">
      <c r="A225">
        <f>novatel_oem615[[#This Row],[GPS_WEEKS]]*604800+novatel_oem615[[#This Row],[GPS_SECONDS]]+novatel_oem615[[#This Row],[GPS_FRAC_SECS]]</f>
        <v>206387139.42199999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L225">
        <v>-2373000</v>
      </c>
      <c r="M225">
        <v>-6309000</v>
      </c>
      <c r="N225">
        <v>709600</v>
      </c>
      <c r="O225">
        <v>4208</v>
      </c>
      <c r="P225">
        <v>-902</v>
      </c>
      <c r="Q225">
        <v>5989</v>
      </c>
      <c r="R225">
        <v>6.0092201230000004</v>
      </c>
      <c r="S225">
        <v>-110.64121249999999</v>
      </c>
      <c r="T225">
        <v>399881.875</v>
      </c>
      <c r="AC225">
        <v>0</v>
      </c>
      <c r="AD225">
        <f t="shared" si="9"/>
        <v>0</v>
      </c>
      <c r="AE225">
        <f t="shared" si="10"/>
        <v>0</v>
      </c>
      <c r="AF225">
        <f t="shared" si="11"/>
        <v>0</v>
      </c>
      <c r="AG225">
        <v>0</v>
      </c>
      <c r="AH225">
        <v>0</v>
      </c>
      <c r="AI225">
        <v>0</v>
      </c>
    </row>
    <row r="226" spans="1:35" x14ac:dyDescent="0.25">
      <c r="A226">
        <f>novatel_oem615[[#This Row],[GPS_WEEKS]]*604800+novatel_oem615[[#This Row],[GPS_SECONDS]]+novatel_oem615[[#This Row],[GPS_FRAC_SECS]]</f>
        <v>206387139.67199999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L226">
        <v>-2372000</v>
      </c>
      <c r="M226">
        <v>-6309000</v>
      </c>
      <c r="N226">
        <v>711100</v>
      </c>
      <c r="O226">
        <v>4209</v>
      </c>
      <c r="P226">
        <v>-900</v>
      </c>
      <c r="Q226">
        <v>5989</v>
      </c>
      <c r="R226">
        <v>6.0092201230000004</v>
      </c>
      <c r="S226">
        <v>-110.64121249999999</v>
      </c>
      <c r="T226">
        <v>399881.875</v>
      </c>
      <c r="AC226">
        <v>0</v>
      </c>
      <c r="AD226">
        <f t="shared" si="9"/>
        <v>0</v>
      </c>
      <c r="AE226">
        <f t="shared" si="10"/>
        <v>0</v>
      </c>
      <c r="AF226">
        <f t="shared" si="11"/>
        <v>0</v>
      </c>
      <c r="AG226">
        <v>0</v>
      </c>
      <c r="AH226">
        <v>0</v>
      </c>
      <c r="AI226">
        <v>0</v>
      </c>
    </row>
    <row r="227" spans="1:35" x14ac:dyDescent="0.25">
      <c r="A227">
        <f>novatel_oem615[[#This Row],[GPS_WEEKS]]*604800+novatel_oem615[[#This Row],[GPS_SECONDS]]+novatel_oem615[[#This Row],[GPS_FRAC_SECS]]</f>
        <v>206387139.92199999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-2371000</v>
      </c>
      <c r="M227">
        <v>-6309000</v>
      </c>
      <c r="N227">
        <v>712600</v>
      </c>
      <c r="O227">
        <v>4210</v>
      </c>
      <c r="P227">
        <v>-898</v>
      </c>
      <c r="Q227">
        <v>5988</v>
      </c>
      <c r="R227">
        <v>6.0092201230000004</v>
      </c>
      <c r="S227">
        <v>-110.64121249999999</v>
      </c>
      <c r="T227">
        <v>399881.875</v>
      </c>
      <c r="AC227">
        <v>0</v>
      </c>
      <c r="AD227">
        <f t="shared" si="9"/>
        <v>0</v>
      </c>
      <c r="AE227">
        <f t="shared" si="10"/>
        <v>0</v>
      </c>
      <c r="AF227">
        <f t="shared" si="11"/>
        <v>0</v>
      </c>
      <c r="AG227">
        <v>0</v>
      </c>
      <c r="AH227">
        <v>0</v>
      </c>
      <c r="AI227">
        <v>0</v>
      </c>
    </row>
    <row r="228" spans="1:35" x14ac:dyDescent="0.25">
      <c r="A228">
        <f>novatel_oem615[[#This Row],[GPS_WEEKS]]*604800+novatel_oem615[[#This Row],[GPS_SECONDS]]+novatel_oem615[[#This Row],[GPS_FRAC_SECS]]</f>
        <v>206387140.17199999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L228">
        <v>-2370000</v>
      </c>
      <c r="M228">
        <v>-6310000</v>
      </c>
      <c r="N228">
        <v>714000</v>
      </c>
      <c r="O228">
        <v>4210</v>
      </c>
      <c r="P228">
        <v>-896</v>
      </c>
      <c r="Q228">
        <v>5988</v>
      </c>
      <c r="R228">
        <v>6.0092201230000004</v>
      </c>
      <c r="S228">
        <v>-110.64121249999999</v>
      </c>
      <c r="T228">
        <v>399881.875</v>
      </c>
      <c r="AC228">
        <v>0</v>
      </c>
      <c r="AD228">
        <f t="shared" si="9"/>
        <v>0</v>
      </c>
      <c r="AE228">
        <f t="shared" si="10"/>
        <v>0</v>
      </c>
      <c r="AF228">
        <f t="shared" si="11"/>
        <v>0</v>
      </c>
      <c r="AG228">
        <v>0</v>
      </c>
      <c r="AH228">
        <v>0</v>
      </c>
      <c r="AI228">
        <v>0</v>
      </c>
    </row>
    <row r="229" spans="1:35" x14ac:dyDescent="0.25">
      <c r="A229">
        <f>novatel_oem615[[#This Row],[GPS_WEEKS]]*604800+novatel_oem615[[#This Row],[GPS_SECONDS]]+novatel_oem615[[#This Row],[GPS_FRAC_SECS]]</f>
        <v>206387140.42199999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L229">
        <v>-2369000</v>
      </c>
      <c r="M229">
        <v>-6310000</v>
      </c>
      <c r="N229">
        <v>715500</v>
      </c>
      <c r="O229">
        <v>4211</v>
      </c>
      <c r="P229">
        <v>-894</v>
      </c>
      <c r="Q229">
        <v>5988</v>
      </c>
      <c r="R229">
        <v>6.0092201230000004</v>
      </c>
      <c r="S229">
        <v>-110.64121249999999</v>
      </c>
      <c r="T229">
        <v>399881.875</v>
      </c>
      <c r="AC229">
        <v>0</v>
      </c>
      <c r="AD229">
        <f t="shared" si="9"/>
        <v>0</v>
      </c>
      <c r="AE229">
        <f t="shared" si="10"/>
        <v>0</v>
      </c>
      <c r="AF229">
        <f t="shared" si="11"/>
        <v>0</v>
      </c>
      <c r="AG229">
        <v>0</v>
      </c>
      <c r="AH229">
        <v>0</v>
      </c>
      <c r="AI229">
        <v>0</v>
      </c>
    </row>
    <row r="230" spans="1:35" x14ac:dyDescent="0.25">
      <c r="A230">
        <f>novatel_oem615[[#This Row],[GPS_WEEKS]]*604800+novatel_oem615[[#This Row],[GPS_SECONDS]]+novatel_oem615[[#This Row],[GPS_FRAC_SECS]]</f>
        <v>206387140.67199999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L230">
        <v>-2368000</v>
      </c>
      <c r="M230">
        <v>-6310000</v>
      </c>
      <c r="N230">
        <v>717000</v>
      </c>
      <c r="O230">
        <v>4212</v>
      </c>
      <c r="P230">
        <v>-892</v>
      </c>
      <c r="Q230">
        <v>5988</v>
      </c>
      <c r="R230">
        <v>6.0092201230000004</v>
      </c>
      <c r="S230">
        <v>-110.64121249999999</v>
      </c>
      <c r="T230">
        <v>399881.875</v>
      </c>
      <c r="AC230">
        <v>0</v>
      </c>
      <c r="AD230">
        <f t="shared" si="9"/>
        <v>0</v>
      </c>
      <c r="AE230">
        <f t="shared" si="10"/>
        <v>0</v>
      </c>
      <c r="AF230">
        <f t="shared" si="11"/>
        <v>0</v>
      </c>
      <c r="AG230">
        <v>0</v>
      </c>
      <c r="AH230">
        <v>0</v>
      </c>
      <c r="AI230">
        <v>0</v>
      </c>
    </row>
    <row r="231" spans="1:35" x14ac:dyDescent="0.25">
      <c r="A231">
        <f>novatel_oem615[[#This Row],[GPS_WEEKS]]*604800+novatel_oem615[[#This Row],[GPS_SECONDS]]+novatel_oem615[[#This Row],[GPS_FRAC_SECS]]</f>
        <v>206387140.92199999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-2367000</v>
      </c>
      <c r="M231">
        <v>-6310000</v>
      </c>
      <c r="N231">
        <v>718500</v>
      </c>
      <c r="O231">
        <v>4213</v>
      </c>
      <c r="P231">
        <v>-891</v>
      </c>
      <c r="Q231">
        <v>5987</v>
      </c>
      <c r="R231">
        <v>6.0092201230000004</v>
      </c>
      <c r="S231">
        <v>-110.64121249999999</v>
      </c>
      <c r="T231">
        <v>399881.875</v>
      </c>
      <c r="AC231">
        <v>0</v>
      </c>
      <c r="AD231">
        <f t="shared" si="9"/>
        <v>0</v>
      </c>
      <c r="AE231">
        <f t="shared" si="10"/>
        <v>0</v>
      </c>
      <c r="AF231">
        <f t="shared" si="11"/>
        <v>0</v>
      </c>
      <c r="AG231">
        <v>0</v>
      </c>
      <c r="AH231">
        <v>0</v>
      </c>
      <c r="AI231">
        <v>0</v>
      </c>
    </row>
    <row r="232" spans="1:35" x14ac:dyDescent="0.25">
      <c r="A232">
        <f>novatel_oem615[[#This Row],[GPS_WEEKS]]*604800+novatel_oem615[[#This Row],[GPS_SECONDS]]+novatel_oem615[[#This Row],[GPS_FRAC_SECS]]</f>
        <v>206387141.17199999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-2366000</v>
      </c>
      <c r="M232">
        <v>-6311000</v>
      </c>
      <c r="N232">
        <v>720000</v>
      </c>
      <c r="O232">
        <v>4213</v>
      </c>
      <c r="P232">
        <v>-889</v>
      </c>
      <c r="Q232">
        <v>5987</v>
      </c>
      <c r="R232">
        <v>6.0092201230000004</v>
      </c>
      <c r="S232">
        <v>-110.64121249999999</v>
      </c>
      <c r="T232">
        <v>399881.875</v>
      </c>
      <c r="AC232">
        <v>0</v>
      </c>
      <c r="AD232">
        <f t="shared" si="9"/>
        <v>0</v>
      </c>
      <c r="AE232">
        <f t="shared" si="10"/>
        <v>0</v>
      </c>
      <c r="AF232">
        <f t="shared" si="11"/>
        <v>0</v>
      </c>
      <c r="AG232">
        <v>0</v>
      </c>
      <c r="AH232">
        <v>0</v>
      </c>
      <c r="AI232">
        <v>0</v>
      </c>
    </row>
    <row r="233" spans="1:35" x14ac:dyDescent="0.25">
      <c r="A233">
        <f>novatel_oem615[[#This Row],[GPS_WEEKS]]*604800+novatel_oem615[[#This Row],[GPS_SECONDS]]+novatel_oem615[[#This Row],[GPS_FRAC_SECS]]</f>
        <v>206387141.42199999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L233">
        <v>-2365000</v>
      </c>
      <c r="M233">
        <v>-6311000</v>
      </c>
      <c r="N233">
        <v>721500</v>
      </c>
      <c r="O233">
        <v>4214</v>
      </c>
      <c r="P233">
        <v>-887</v>
      </c>
      <c r="Q233">
        <v>5987</v>
      </c>
      <c r="R233">
        <v>6.0092201230000004</v>
      </c>
      <c r="S233">
        <v>-110.64121249999999</v>
      </c>
      <c r="T233">
        <v>399881.875</v>
      </c>
      <c r="AC233">
        <v>0</v>
      </c>
      <c r="AD233">
        <f t="shared" si="9"/>
        <v>0</v>
      </c>
      <c r="AE233">
        <f t="shared" si="10"/>
        <v>0</v>
      </c>
      <c r="AF233">
        <f t="shared" si="11"/>
        <v>0</v>
      </c>
      <c r="AG233">
        <v>0</v>
      </c>
      <c r="AH233">
        <v>0</v>
      </c>
      <c r="AI233">
        <v>0</v>
      </c>
    </row>
    <row r="234" spans="1:35" x14ac:dyDescent="0.25">
      <c r="A234">
        <f>novatel_oem615[[#This Row],[GPS_WEEKS]]*604800+novatel_oem615[[#This Row],[GPS_SECONDS]]+novatel_oem615[[#This Row],[GPS_FRAC_SECS]]</f>
        <v>206387141.67199999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L234">
        <v>-2364000</v>
      </c>
      <c r="M234">
        <v>-6311000</v>
      </c>
      <c r="N234">
        <v>723000</v>
      </c>
      <c r="O234">
        <v>4215</v>
      </c>
      <c r="P234">
        <v>-885</v>
      </c>
      <c r="Q234">
        <v>5987</v>
      </c>
      <c r="R234">
        <v>6.0092201230000004</v>
      </c>
      <c r="S234">
        <v>-110.64121249999999</v>
      </c>
      <c r="T234">
        <v>399881.875</v>
      </c>
      <c r="AC234">
        <v>0</v>
      </c>
      <c r="AD234">
        <f t="shared" si="9"/>
        <v>0</v>
      </c>
      <c r="AE234">
        <f t="shared" si="10"/>
        <v>0</v>
      </c>
      <c r="AF234">
        <f t="shared" si="11"/>
        <v>0</v>
      </c>
      <c r="AG234">
        <v>0</v>
      </c>
      <c r="AH234">
        <v>0</v>
      </c>
      <c r="AI234">
        <v>0</v>
      </c>
    </row>
    <row r="235" spans="1:35" x14ac:dyDescent="0.25">
      <c r="A235">
        <f>novatel_oem615[[#This Row],[GPS_WEEKS]]*604800+novatel_oem615[[#This Row],[GPS_SECONDS]]+novatel_oem615[[#This Row],[GPS_FRAC_SECS]]</f>
        <v>206387141.92199999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L235">
        <v>-2363000</v>
      </c>
      <c r="M235">
        <v>-6311000</v>
      </c>
      <c r="N235">
        <v>724500</v>
      </c>
      <c r="O235">
        <v>4215</v>
      </c>
      <c r="P235">
        <v>-883</v>
      </c>
      <c r="Q235">
        <v>5986</v>
      </c>
      <c r="R235">
        <v>6.0092201230000004</v>
      </c>
      <c r="S235">
        <v>-110.64121249999999</v>
      </c>
      <c r="T235">
        <v>399881.875</v>
      </c>
      <c r="AC235">
        <v>0</v>
      </c>
      <c r="AD235">
        <f t="shared" si="9"/>
        <v>0</v>
      </c>
      <c r="AE235">
        <f t="shared" si="10"/>
        <v>0</v>
      </c>
      <c r="AF235">
        <f t="shared" si="11"/>
        <v>0</v>
      </c>
      <c r="AG235">
        <v>0</v>
      </c>
      <c r="AH235">
        <v>0</v>
      </c>
      <c r="AI235">
        <v>0</v>
      </c>
    </row>
    <row r="236" spans="1:35" x14ac:dyDescent="0.25">
      <c r="A236">
        <f>novatel_oem615[[#This Row],[GPS_WEEKS]]*604800+novatel_oem615[[#This Row],[GPS_SECONDS]]+novatel_oem615[[#This Row],[GPS_FRAC_SECS]]</f>
        <v>206387142.17199999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L236">
        <v>-2362000</v>
      </c>
      <c r="M236">
        <v>-6311000</v>
      </c>
      <c r="N236">
        <v>726000</v>
      </c>
      <c r="O236">
        <v>4216</v>
      </c>
      <c r="P236">
        <v>-881</v>
      </c>
      <c r="Q236">
        <v>5986</v>
      </c>
      <c r="R236">
        <v>6.0092201230000004</v>
      </c>
      <c r="S236">
        <v>-110.64121249999999</v>
      </c>
      <c r="T236">
        <v>399881.875</v>
      </c>
      <c r="AC236">
        <v>0</v>
      </c>
      <c r="AD236">
        <f t="shared" si="9"/>
        <v>0</v>
      </c>
      <c r="AE236">
        <f t="shared" si="10"/>
        <v>0</v>
      </c>
      <c r="AF236">
        <f t="shared" si="11"/>
        <v>0</v>
      </c>
      <c r="AG236">
        <v>0</v>
      </c>
      <c r="AH236">
        <v>0</v>
      </c>
      <c r="AI236">
        <v>0</v>
      </c>
    </row>
    <row r="237" spans="1:35" x14ac:dyDescent="0.25">
      <c r="A237">
        <f>novatel_oem615[[#This Row],[GPS_WEEKS]]*604800+novatel_oem615[[#This Row],[GPS_SECONDS]]+novatel_oem615[[#This Row],[GPS_FRAC_SECS]]</f>
        <v>206387142.42199999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-2361000</v>
      </c>
      <c r="M237">
        <v>-6312000</v>
      </c>
      <c r="N237">
        <v>727500</v>
      </c>
      <c r="O237">
        <v>4217</v>
      </c>
      <c r="P237">
        <v>-880</v>
      </c>
      <c r="Q237">
        <v>5986</v>
      </c>
      <c r="R237">
        <v>6.0092201230000004</v>
      </c>
      <c r="S237">
        <v>-110.64121249999999</v>
      </c>
      <c r="T237">
        <v>399881.875</v>
      </c>
      <c r="AC237">
        <v>0</v>
      </c>
      <c r="AD237">
        <f t="shared" si="9"/>
        <v>0</v>
      </c>
      <c r="AE237">
        <f t="shared" si="10"/>
        <v>0</v>
      </c>
      <c r="AF237">
        <f t="shared" si="11"/>
        <v>0</v>
      </c>
      <c r="AG237">
        <v>0</v>
      </c>
      <c r="AH237">
        <v>0</v>
      </c>
      <c r="AI237">
        <v>0</v>
      </c>
    </row>
    <row r="238" spans="1:35" x14ac:dyDescent="0.25">
      <c r="A238">
        <f>novatel_oem615[[#This Row],[GPS_WEEKS]]*604800+novatel_oem615[[#This Row],[GPS_SECONDS]]+novatel_oem615[[#This Row],[GPS_FRAC_SECS]]</f>
        <v>206387142.67199999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L238">
        <v>-2360000</v>
      </c>
      <c r="M238">
        <v>-6312000</v>
      </c>
      <c r="N238">
        <v>729000</v>
      </c>
      <c r="O238">
        <v>4218</v>
      </c>
      <c r="P238">
        <v>-878</v>
      </c>
      <c r="Q238">
        <v>5986</v>
      </c>
      <c r="R238">
        <v>6.0092201230000004</v>
      </c>
      <c r="S238">
        <v>-110.64121249999999</v>
      </c>
      <c r="T238">
        <v>399881.875</v>
      </c>
      <c r="AC238">
        <v>0</v>
      </c>
      <c r="AD238">
        <f t="shared" si="9"/>
        <v>0</v>
      </c>
      <c r="AE238">
        <f t="shared" si="10"/>
        <v>0</v>
      </c>
      <c r="AF238">
        <f t="shared" si="11"/>
        <v>0</v>
      </c>
      <c r="AG238">
        <v>0</v>
      </c>
      <c r="AH238">
        <v>0</v>
      </c>
      <c r="AI238">
        <v>0</v>
      </c>
    </row>
    <row r="239" spans="1:35" x14ac:dyDescent="0.25">
      <c r="A239">
        <f>novatel_oem615[[#This Row],[GPS_WEEKS]]*604800+novatel_oem615[[#This Row],[GPS_SECONDS]]+novatel_oem615[[#This Row],[GPS_FRAC_SECS]]</f>
        <v>206387143.42199999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L239">
        <v>-2356000</v>
      </c>
      <c r="M239">
        <v>-6312000</v>
      </c>
      <c r="N239">
        <v>733400</v>
      </c>
      <c r="O239">
        <v>4220</v>
      </c>
      <c r="P239">
        <v>-872</v>
      </c>
      <c r="Q239">
        <v>5985</v>
      </c>
      <c r="R239">
        <v>6.0092201230000004</v>
      </c>
      <c r="S239">
        <v>-110.64121249999999</v>
      </c>
      <c r="T239">
        <v>399881.875</v>
      </c>
      <c r="AC239">
        <v>0</v>
      </c>
      <c r="AD239">
        <f t="shared" si="9"/>
        <v>0</v>
      </c>
      <c r="AE239">
        <f t="shared" si="10"/>
        <v>0</v>
      </c>
      <c r="AF239">
        <f t="shared" si="11"/>
        <v>0</v>
      </c>
      <c r="AG239">
        <v>0</v>
      </c>
      <c r="AH239">
        <v>0</v>
      </c>
      <c r="AI239">
        <v>0</v>
      </c>
    </row>
    <row r="240" spans="1:35" x14ac:dyDescent="0.25">
      <c r="A240">
        <f>novatel_oem615[[#This Row],[GPS_WEEKS]]*604800+novatel_oem615[[#This Row],[GPS_SECONDS]]+novatel_oem615[[#This Row],[GPS_FRAC_SECS]]</f>
        <v>206387143.67199999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L240">
        <v>-2355000</v>
      </c>
      <c r="M240">
        <v>-6313000</v>
      </c>
      <c r="N240">
        <v>734900</v>
      </c>
      <c r="O240">
        <v>4220</v>
      </c>
      <c r="P240">
        <v>-870</v>
      </c>
      <c r="Q240">
        <v>5985</v>
      </c>
      <c r="R240">
        <v>6.0092201230000004</v>
      </c>
      <c r="S240">
        <v>-110.64121249999999</v>
      </c>
      <c r="T240">
        <v>399881.875</v>
      </c>
      <c r="AC240">
        <v>0</v>
      </c>
      <c r="AD240">
        <f t="shared" si="9"/>
        <v>0</v>
      </c>
      <c r="AE240">
        <f t="shared" si="10"/>
        <v>0</v>
      </c>
      <c r="AF240">
        <f t="shared" si="11"/>
        <v>0</v>
      </c>
      <c r="AG240">
        <v>0</v>
      </c>
      <c r="AH240">
        <v>0</v>
      </c>
      <c r="AI240">
        <v>0</v>
      </c>
    </row>
    <row r="241" spans="1:35" x14ac:dyDescent="0.25">
      <c r="A241">
        <f>novatel_oem615[[#This Row],[GPS_WEEKS]]*604800+novatel_oem615[[#This Row],[GPS_SECONDS]]+novatel_oem615[[#This Row],[GPS_FRAC_SECS]]</f>
        <v>206387143.92199999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L241">
        <v>-2354000</v>
      </c>
      <c r="M241">
        <v>-6313000</v>
      </c>
      <c r="N241">
        <v>736400</v>
      </c>
      <c r="O241">
        <v>4221</v>
      </c>
      <c r="P241">
        <v>-868</v>
      </c>
      <c r="Q241">
        <v>5985</v>
      </c>
      <c r="R241">
        <v>6.0092201230000004</v>
      </c>
      <c r="S241">
        <v>-110.64121249999999</v>
      </c>
      <c r="T241">
        <v>399881.875</v>
      </c>
      <c r="AC241">
        <v>0</v>
      </c>
      <c r="AD241">
        <f t="shared" si="9"/>
        <v>0</v>
      </c>
      <c r="AE241">
        <f t="shared" si="10"/>
        <v>0</v>
      </c>
      <c r="AF241">
        <f t="shared" si="11"/>
        <v>0</v>
      </c>
      <c r="AG241">
        <v>0</v>
      </c>
      <c r="AH241">
        <v>0</v>
      </c>
      <c r="AI241">
        <v>0</v>
      </c>
    </row>
    <row r="242" spans="1:35" x14ac:dyDescent="0.25">
      <c r="A242">
        <f>novatel_oem615[[#This Row],[GPS_WEEKS]]*604800+novatel_oem615[[#This Row],[GPS_SECONDS]]+novatel_oem615[[#This Row],[GPS_FRAC_SECS]]</f>
        <v>206387144.17199999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-2353000</v>
      </c>
      <c r="M242">
        <v>-6313000</v>
      </c>
      <c r="N242">
        <v>737800</v>
      </c>
      <c r="O242">
        <v>4222</v>
      </c>
      <c r="P242">
        <v>-866</v>
      </c>
      <c r="Q242">
        <v>5984</v>
      </c>
      <c r="R242">
        <v>6.0092201230000004</v>
      </c>
      <c r="S242">
        <v>-110.64121249999999</v>
      </c>
      <c r="T242">
        <v>399881.875</v>
      </c>
      <c r="AC242">
        <v>0</v>
      </c>
      <c r="AD242">
        <f t="shared" si="9"/>
        <v>0</v>
      </c>
      <c r="AE242">
        <f t="shared" si="10"/>
        <v>0</v>
      </c>
      <c r="AF242">
        <f t="shared" si="11"/>
        <v>0</v>
      </c>
      <c r="AG242">
        <v>0</v>
      </c>
      <c r="AH242">
        <v>0</v>
      </c>
      <c r="AI242">
        <v>0</v>
      </c>
    </row>
    <row r="243" spans="1:35" x14ac:dyDescent="0.25">
      <c r="A243">
        <f>novatel_oem615[[#This Row],[GPS_WEEKS]]*604800+novatel_oem615[[#This Row],[GPS_SECONDS]]+novatel_oem615[[#This Row],[GPS_FRAC_SECS]]</f>
        <v>206387144.42199999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L243">
        <v>-2352000</v>
      </c>
      <c r="M243">
        <v>-6313000</v>
      </c>
      <c r="N243">
        <v>739300</v>
      </c>
      <c r="O243">
        <v>4223</v>
      </c>
      <c r="P243">
        <v>-865</v>
      </c>
      <c r="Q243">
        <v>5984</v>
      </c>
      <c r="R243">
        <v>6.0092201230000004</v>
      </c>
      <c r="S243">
        <v>-110.64121249999999</v>
      </c>
      <c r="T243">
        <v>399881.875</v>
      </c>
      <c r="AC243">
        <v>0</v>
      </c>
      <c r="AD243">
        <f t="shared" si="9"/>
        <v>0</v>
      </c>
      <c r="AE243">
        <f t="shared" si="10"/>
        <v>0</v>
      </c>
      <c r="AF243">
        <f t="shared" si="11"/>
        <v>0</v>
      </c>
      <c r="AG243">
        <v>0</v>
      </c>
      <c r="AH243">
        <v>0</v>
      </c>
      <c r="AI243">
        <v>0</v>
      </c>
    </row>
    <row r="244" spans="1:35" x14ac:dyDescent="0.25">
      <c r="A244">
        <f>novatel_oem615[[#This Row],[GPS_WEEKS]]*604800+novatel_oem615[[#This Row],[GPS_SECONDS]]+novatel_oem615[[#This Row],[GPS_FRAC_SECS]]</f>
        <v>206387144.67199999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L244">
        <v>-2351000</v>
      </c>
      <c r="M244">
        <v>-6314000</v>
      </c>
      <c r="N244">
        <v>740800</v>
      </c>
      <c r="O244">
        <v>4223</v>
      </c>
      <c r="P244">
        <v>-863</v>
      </c>
      <c r="Q244">
        <v>5984</v>
      </c>
      <c r="R244">
        <v>6.0092201230000004</v>
      </c>
      <c r="S244">
        <v>-110.64121249999999</v>
      </c>
      <c r="T244">
        <v>399881.875</v>
      </c>
      <c r="AC244">
        <v>0</v>
      </c>
      <c r="AD244">
        <f t="shared" si="9"/>
        <v>0</v>
      </c>
      <c r="AE244">
        <f t="shared" si="10"/>
        <v>0</v>
      </c>
      <c r="AF244">
        <f t="shared" si="11"/>
        <v>0</v>
      </c>
      <c r="AG244">
        <v>0</v>
      </c>
      <c r="AH244">
        <v>0</v>
      </c>
      <c r="AI244">
        <v>0</v>
      </c>
    </row>
    <row r="245" spans="1:35" x14ac:dyDescent="0.25">
      <c r="A245">
        <f>novatel_oem615[[#This Row],[GPS_WEEKS]]*604800+novatel_oem615[[#This Row],[GPS_SECONDS]]+novatel_oem615[[#This Row],[GPS_FRAC_SECS]]</f>
        <v>206387144.92199999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L245">
        <v>-2350000</v>
      </c>
      <c r="M245">
        <v>-6314000</v>
      </c>
      <c r="N245">
        <v>742300</v>
      </c>
      <c r="O245">
        <v>4224</v>
      </c>
      <c r="P245">
        <v>-861</v>
      </c>
      <c r="Q245">
        <v>5984</v>
      </c>
      <c r="R245">
        <v>6.0092201230000004</v>
      </c>
      <c r="S245">
        <v>-110.64121249999999</v>
      </c>
      <c r="T245">
        <v>399881.875</v>
      </c>
      <c r="AC245">
        <v>0</v>
      </c>
      <c r="AD245">
        <f t="shared" si="9"/>
        <v>0</v>
      </c>
      <c r="AE245">
        <f t="shared" si="10"/>
        <v>0</v>
      </c>
      <c r="AF245">
        <f t="shared" si="11"/>
        <v>0</v>
      </c>
      <c r="AG245">
        <v>0</v>
      </c>
      <c r="AH245">
        <v>0</v>
      </c>
      <c r="AI245">
        <v>0</v>
      </c>
    </row>
    <row r="246" spans="1:35" x14ac:dyDescent="0.25">
      <c r="A246">
        <f>novatel_oem615[[#This Row],[GPS_WEEKS]]*604800+novatel_oem615[[#This Row],[GPS_SECONDS]]+novatel_oem615[[#This Row],[GPS_FRAC_SECS]]</f>
        <v>206387145.17199999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L246">
        <v>-2349000</v>
      </c>
      <c r="M246">
        <v>-6314000</v>
      </c>
      <c r="N246">
        <v>743800</v>
      </c>
      <c r="O246">
        <v>4225</v>
      </c>
      <c r="P246">
        <v>-859</v>
      </c>
      <c r="Q246">
        <v>5983</v>
      </c>
      <c r="R246">
        <v>6.0092201230000004</v>
      </c>
      <c r="S246">
        <v>-110.64121249999999</v>
      </c>
      <c r="T246">
        <v>399881.875</v>
      </c>
      <c r="AC246">
        <v>0</v>
      </c>
      <c r="AD246">
        <f t="shared" si="9"/>
        <v>0</v>
      </c>
      <c r="AE246">
        <f t="shared" si="10"/>
        <v>0</v>
      </c>
      <c r="AF246">
        <f t="shared" si="11"/>
        <v>0</v>
      </c>
      <c r="AG246">
        <v>0</v>
      </c>
      <c r="AH246">
        <v>0</v>
      </c>
      <c r="AI246">
        <v>0</v>
      </c>
    </row>
    <row r="247" spans="1:35" x14ac:dyDescent="0.25">
      <c r="A247">
        <f>novatel_oem615[[#This Row],[GPS_WEEKS]]*604800+novatel_oem615[[#This Row],[GPS_SECONDS]]+novatel_oem615[[#This Row],[GPS_FRAC_SECS]]</f>
        <v>206387145.42199999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-2348000</v>
      </c>
      <c r="M247">
        <v>-6314000</v>
      </c>
      <c r="N247">
        <v>745300</v>
      </c>
      <c r="O247">
        <v>4225</v>
      </c>
      <c r="P247">
        <v>-857</v>
      </c>
      <c r="Q247">
        <v>5983</v>
      </c>
      <c r="R247">
        <v>6.0092201230000004</v>
      </c>
      <c r="S247">
        <v>-110.64121249999999</v>
      </c>
      <c r="T247">
        <v>399881.875</v>
      </c>
      <c r="AC247">
        <v>0</v>
      </c>
      <c r="AD247">
        <f t="shared" si="9"/>
        <v>0</v>
      </c>
      <c r="AE247">
        <f t="shared" si="10"/>
        <v>0</v>
      </c>
      <c r="AF247">
        <f t="shared" si="11"/>
        <v>0</v>
      </c>
      <c r="AG247">
        <v>0</v>
      </c>
      <c r="AH247">
        <v>0</v>
      </c>
      <c r="AI247">
        <v>0</v>
      </c>
    </row>
    <row r="248" spans="1:35" x14ac:dyDescent="0.25">
      <c r="A248">
        <f>novatel_oem615[[#This Row],[GPS_WEEKS]]*604800+novatel_oem615[[#This Row],[GPS_SECONDS]]+novatel_oem615[[#This Row],[GPS_FRAC_SECS]]</f>
        <v>206387145.67199999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L248">
        <v>-2347000</v>
      </c>
      <c r="M248">
        <v>-6314000</v>
      </c>
      <c r="N248">
        <v>746800</v>
      </c>
      <c r="O248">
        <v>4226</v>
      </c>
      <c r="P248">
        <v>-855</v>
      </c>
      <c r="Q248">
        <v>5983</v>
      </c>
      <c r="R248">
        <v>6.0092201230000004</v>
      </c>
      <c r="S248">
        <v>-110.64121249999999</v>
      </c>
      <c r="T248">
        <v>399881.875</v>
      </c>
      <c r="AC248">
        <v>0</v>
      </c>
      <c r="AD248">
        <f t="shared" si="9"/>
        <v>0</v>
      </c>
      <c r="AE248">
        <f t="shared" si="10"/>
        <v>0</v>
      </c>
      <c r="AF248">
        <f t="shared" si="11"/>
        <v>0</v>
      </c>
      <c r="AG248">
        <v>0</v>
      </c>
      <c r="AH248">
        <v>0</v>
      </c>
      <c r="AI248">
        <v>0</v>
      </c>
    </row>
    <row r="249" spans="1:35" x14ac:dyDescent="0.25">
      <c r="A249">
        <f>novatel_oem615[[#This Row],[GPS_WEEKS]]*604800+novatel_oem615[[#This Row],[GPS_SECONDS]]+novatel_oem615[[#This Row],[GPS_FRAC_SECS]]</f>
        <v>206387145.92199999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L249">
        <v>-2346000</v>
      </c>
      <c r="M249">
        <v>-6315000</v>
      </c>
      <c r="N249">
        <v>748300</v>
      </c>
      <c r="O249">
        <v>4227</v>
      </c>
      <c r="P249">
        <v>-854</v>
      </c>
      <c r="Q249">
        <v>5983</v>
      </c>
      <c r="R249">
        <v>6.0092201230000004</v>
      </c>
      <c r="S249">
        <v>-110.64121249999999</v>
      </c>
      <c r="T249">
        <v>399881.875</v>
      </c>
      <c r="AC249">
        <v>0</v>
      </c>
      <c r="AD249">
        <f t="shared" si="9"/>
        <v>0</v>
      </c>
      <c r="AE249">
        <f t="shared" si="10"/>
        <v>0</v>
      </c>
      <c r="AF249">
        <f t="shared" si="11"/>
        <v>0</v>
      </c>
      <c r="AG249">
        <v>0</v>
      </c>
      <c r="AH249">
        <v>0</v>
      </c>
      <c r="AI249">
        <v>0</v>
      </c>
    </row>
    <row r="250" spans="1:35" x14ac:dyDescent="0.25">
      <c r="A250">
        <f>novatel_oem615[[#This Row],[GPS_WEEKS]]*604800+novatel_oem615[[#This Row],[GPS_SECONDS]]+novatel_oem615[[#This Row],[GPS_FRAC_SECS]]</f>
        <v>206387146.17199999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L250">
        <v>-2345000</v>
      </c>
      <c r="M250">
        <v>-6315000</v>
      </c>
      <c r="N250">
        <v>749800</v>
      </c>
      <c r="O250">
        <v>4228</v>
      </c>
      <c r="P250">
        <v>-852</v>
      </c>
      <c r="Q250">
        <v>5982</v>
      </c>
      <c r="R250">
        <v>6.0092201230000004</v>
      </c>
      <c r="S250">
        <v>-110.64121249999999</v>
      </c>
      <c r="T250">
        <v>399881.875</v>
      </c>
      <c r="AC250">
        <v>0</v>
      </c>
      <c r="AD250">
        <f t="shared" si="9"/>
        <v>0</v>
      </c>
      <c r="AE250">
        <f t="shared" si="10"/>
        <v>0</v>
      </c>
      <c r="AF250">
        <f t="shared" si="11"/>
        <v>0</v>
      </c>
      <c r="AG250">
        <v>0</v>
      </c>
      <c r="AH250">
        <v>0</v>
      </c>
      <c r="AI250">
        <v>0</v>
      </c>
    </row>
    <row r="251" spans="1:35" x14ac:dyDescent="0.25">
      <c r="A251">
        <f>novatel_oem615[[#This Row],[GPS_WEEKS]]*604800+novatel_oem615[[#This Row],[GPS_SECONDS]]+novatel_oem615[[#This Row],[GPS_FRAC_SECS]]</f>
        <v>206387146.42199999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L251">
        <v>-2344000</v>
      </c>
      <c r="M251">
        <v>-6315000</v>
      </c>
      <c r="N251">
        <v>751300</v>
      </c>
      <c r="O251">
        <v>4228</v>
      </c>
      <c r="P251">
        <v>-850</v>
      </c>
      <c r="Q251">
        <v>5982</v>
      </c>
      <c r="R251">
        <v>6.0092201230000004</v>
      </c>
      <c r="S251">
        <v>-110.64121249999999</v>
      </c>
      <c r="T251">
        <v>399881.875</v>
      </c>
      <c r="AC251">
        <v>0</v>
      </c>
      <c r="AD251">
        <f t="shared" si="9"/>
        <v>0</v>
      </c>
      <c r="AE251">
        <f t="shared" si="10"/>
        <v>0</v>
      </c>
      <c r="AF251">
        <f t="shared" si="11"/>
        <v>0</v>
      </c>
      <c r="AG251">
        <v>0</v>
      </c>
      <c r="AH251">
        <v>0</v>
      </c>
      <c r="AI251">
        <v>0</v>
      </c>
    </row>
    <row r="252" spans="1:35" x14ac:dyDescent="0.25">
      <c r="A252">
        <f>novatel_oem615[[#This Row],[GPS_WEEKS]]*604800+novatel_oem615[[#This Row],[GPS_SECONDS]]+novatel_oem615[[#This Row],[GPS_FRAC_SECS]]</f>
        <v>206387146.67199999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-2343000</v>
      </c>
      <c r="M252">
        <v>-6315000</v>
      </c>
      <c r="N252">
        <v>752800</v>
      </c>
      <c r="O252">
        <v>4229</v>
      </c>
      <c r="P252">
        <v>-848</v>
      </c>
      <c r="Q252">
        <v>5982</v>
      </c>
      <c r="R252">
        <v>6.0092201230000004</v>
      </c>
      <c r="S252">
        <v>-110.64121249999999</v>
      </c>
      <c r="T252">
        <v>399881.875</v>
      </c>
      <c r="AC252">
        <v>0</v>
      </c>
      <c r="AD252">
        <f t="shared" si="9"/>
        <v>0</v>
      </c>
      <c r="AE252">
        <f t="shared" si="10"/>
        <v>0</v>
      </c>
      <c r="AF252">
        <f t="shared" si="11"/>
        <v>0</v>
      </c>
      <c r="AG252">
        <v>0</v>
      </c>
      <c r="AH252">
        <v>0</v>
      </c>
      <c r="AI252">
        <v>0</v>
      </c>
    </row>
    <row r="253" spans="1:35" x14ac:dyDescent="0.25">
      <c r="A253">
        <f>novatel_oem615[[#This Row],[GPS_WEEKS]]*604800+novatel_oem615[[#This Row],[GPS_SECONDS]]+novatel_oem615[[#This Row],[GPS_FRAC_SECS]]</f>
        <v>206387146.92199999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L253">
        <v>-2342000</v>
      </c>
      <c r="M253">
        <v>-6315000</v>
      </c>
      <c r="N253">
        <v>754300</v>
      </c>
      <c r="O253">
        <v>4230</v>
      </c>
      <c r="P253">
        <v>-846</v>
      </c>
      <c r="Q253">
        <v>5982</v>
      </c>
      <c r="R253">
        <v>6.0092201230000004</v>
      </c>
      <c r="S253">
        <v>-110.64121249999999</v>
      </c>
      <c r="T253">
        <v>399881.875</v>
      </c>
      <c r="AC253">
        <v>0</v>
      </c>
      <c r="AD253">
        <f t="shared" si="9"/>
        <v>0</v>
      </c>
      <c r="AE253">
        <f t="shared" si="10"/>
        <v>0</v>
      </c>
      <c r="AF253">
        <f t="shared" si="11"/>
        <v>0</v>
      </c>
      <c r="AG253">
        <v>0</v>
      </c>
      <c r="AH253">
        <v>0</v>
      </c>
      <c r="AI253">
        <v>0</v>
      </c>
    </row>
    <row r="254" spans="1:35" x14ac:dyDescent="0.25">
      <c r="A254">
        <f>novatel_oem615[[#This Row],[GPS_WEEKS]]*604800+novatel_oem615[[#This Row],[GPS_SECONDS]]+novatel_oem615[[#This Row],[GPS_FRAC_SECS]]</f>
        <v>206387147.17199999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v>-2341000</v>
      </c>
      <c r="M254">
        <v>-6316000</v>
      </c>
      <c r="N254">
        <v>755700</v>
      </c>
      <c r="O254">
        <v>4230</v>
      </c>
      <c r="P254">
        <v>-844</v>
      </c>
      <c r="Q254">
        <v>5981</v>
      </c>
      <c r="R254">
        <v>6.0092201230000004</v>
      </c>
      <c r="S254">
        <v>-110.64121249999999</v>
      </c>
      <c r="T254">
        <v>399881.875</v>
      </c>
      <c r="AC254">
        <v>0</v>
      </c>
      <c r="AD254">
        <f t="shared" si="9"/>
        <v>0</v>
      </c>
      <c r="AE254">
        <f t="shared" si="10"/>
        <v>0</v>
      </c>
      <c r="AF254">
        <f t="shared" si="11"/>
        <v>0</v>
      </c>
      <c r="AG254">
        <v>0</v>
      </c>
      <c r="AH254">
        <v>0</v>
      </c>
      <c r="AI254">
        <v>0</v>
      </c>
    </row>
    <row r="255" spans="1:35" x14ac:dyDescent="0.25">
      <c r="A255">
        <f>novatel_oem615[[#This Row],[GPS_WEEKS]]*604800+novatel_oem615[[#This Row],[GPS_SECONDS]]+novatel_oem615[[#This Row],[GPS_FRAC_SECS]]</f>
        <v>206387147.42199999</v>
      </c>
      <c r="B255">
        <v>0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L255">
        <v>-2340000</v>
      </c>
      <c r="M255">
        <v>-6316000</v>
      </c>
      <c r="N255">
        <v>757200</v>
      </c>
      <c r="O255">
        <v>4231</v>
      </c>
      <c r="P255">
        <v>-842</v>
      </c>
      <c r="Q255">
        <v>5981</v>
      </c>
      <c r="R255">
        <v>6.0092201230000004</v>
      </c>
      <c r="S255">
        <v>-110.64121249999999</v>
      </c>
      <c r="T255">
        <v>399881.875</v>
      </c>
      <c r="AC255">
        <v>0</v>
      </c>
      <c r="AD255">
        <f t="shared" si="9"/>
        <v>2</v>
      </c>
      <c r="AE255">
        <f t="shared" si="10"/>
        <v>3</v>
      </c>
      <c r="AF255">
        <f t="shared" si="11"/>
        <v>0</v>
      </c>
      <c r="AG255">
        <v>0</v>
      </c>
      <c r="AH255">
        <v>0</v>
      </c>
      <c r="AI255">
        <v>0</v>
      </c>
    </row>
    <row r="256" spans="1:35" x14ac:dyDescent="0.25">
      <c r="A256">
        <f>novatel_oem615[[#This Row],[GPS_WEEKS]]*604800+novatel_oem615[[#This Row],[GPS_SECONDS]]+novatel_oem615[[#This Row],[GPS_FRAC_SECS]]</f>
        <v>206387147.67199999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L256">
        <v>-2339000</v>
      </c>
      <c r="M256">
        <v>-6316000</v>
      </c>
      <c r="N256">
        <v>758700</v>
      </c>
      <c r="O256">
        <v>4232</v>
      </c>
      <c r="P256">
        <v>-840</v>
      </c>
      <c r="Q256">
        <v>5981</v>
      </c>
      <c r="R256">
        <v>6.0092201230000004</v>
      </c>
      <c r="S256">
        <v>-110.64121249999999</v>
      </c>
      <c r="T256">
        <v>399881.875</v>
      </c>
      <c r="AC256">
        <v>0</v>
      </c>
      <c r="AD256">
        <f t="shared" si="9"/>
        <v>0</v>
      </c>
      <c r="AE256">
        <f t="shared" si="10"/>
        <v>0</v>
      </c>
      <c r="AF256">
        <f t="shared" si="11"/>
        <v>0</v>
      </c>
      <c r="AG256">
        <v>0</v>
      </c>
      <c r="AH256">
        <v>0</v>
      </c>
      <c r="AI256">
        <v>0</v>
      </c>
    </row>
    <row r="257" spans="1:35" x14ac:dyDescent="0.25">
      <c r="A257">
        <f>novatel_oem615[[#This Row],[GPS_WEEKS]]*604800+novatel_oem615[[#This Row],[GPS_SECONDS]]+novatel_oem615[[#This Row],[GPS_FRAC_SECS]]</f>
        <v>206387147.92199999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-2338000</v>
      </c>
      <c r="M257">
        <v>-6316000</v>
      </c>
      <c r="N257">
        <v>760200</v>
      </c>
      <c r="O257">
        <v>4233</v>
      </c>
      <c r="P257">
        <v>-839</v>
      </c>
      <c r="Q257">
        <v>5981</v>
      </c>
      <c r="R257">
        <v>6.0092201230000004</v>
      </c>
      <c r="S257">
        <v>-110.64121249999999</v>
      </c>
      <c r="T257">
        <v>399881.875</v>
      </c>
      <c r="AC257">
        <v>0</v>
      </c>
      <c r="AD257">
        <f t="shared" si="9"/>
        <v>0</v>
      </c>
      <c r="AE257">
        <f t="shared" si="10"/>
        <v>0</v>
      </c>
      <c r="AF257">
        <f t="shared" si="11"/>
        <v>0</v>
      </c>
      <c r="AG257">
        <v>0</v>
      </c>
      <c r="AH257">
        <v>0</v>
      </c>
      <c r="AI257">
        <v>0</v>
      </c>
    </row>
    <row r="258" spans="1:35" x14ac:dyDescent="0.25">
      <c r="A258">
        <f>novatel_oem615[[#This Row],[GPS_WEEKS]]*604800+novatel_oem615[[#This Row],[GPS_SECONDS]]+novatel_oem615[[#This Row],[GPS_FRAC_SECS]]</f>
        <v>206387148.17199999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L258">
        <v>-2336000</v>
      </c>
      <c r="M258">
        <v>-6317000</v>
      </c>
      <c r="N258">
        <v>761700</v>
      </c>
      <c r="O258">
        <v>4233</v>
      </c>
      <c r="P258">
        <v>-837</v>
      </c>
      <c r="Q258">
        <v>5981</v>
      </c>
      <c r="R258">
        <v>6.0092201230000004</v>
      </c>
      <c r="S258">
        <v>-110.64121249999999</v>
      </c>
      <c r="T258">
        <v>399881.875</v>
      </c>
      <c r="AC258">
        <v>0</v>
      </c>
      <c r="AD258">
        <f t="shared" si="9"/>
        <v>0</v>
      </c>
      <c r="AE258">
        <f t="shared" si="10"/>
        <v>0</v>
      </c>
      <c r="AF258">
        <f t="shared" si="11"/>
        <v>0</v>
      </c>
      <c r="AG258">
        <v>0</v>
      </c>
      <c r="AH258">
        <v>0</v>
      </c>
      <c r="AI258">
        <v>0</v>
      </c>
    </row>
    <row r="259" spans="1:35" x14ac:dyDescent="0.25">
      <c r="A259">
        <f>novatel_oem615[[#This Row],[GPS_WEEKS]]*604800+novatel_oem615[[#This Row],[GPS_SECONDS]]+novatel_oem615[[#This Row],[GPS_FRAC_SECS]]</f>
        <v>206387148.42199999</v>
      </c>
      <c r="B259">
        <v>1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L259">
        <v>-2335000</v>
      </c>
      <c r="M259">
        <v>-6317000</v>
      </c>
      <c r="N259">
        <v>763200</v>
      </c>
      <c r="O259">
        <v>4234</v>
      </c>
      <c r="P259">
        <v>-835</v>
      </c>
      <c r="Q259">
        <v>5980</v>
      </c>
      <c r="R259">
        <v>6.0092201230000004</v>
      </c>
      <c r="S259">
        <v>-110.64121249999999</v>
      </c>
      <c r="T259">
        <v>399881.875</v>
      </c>
      <c r="AC259">
        <v>1</v>
      </c>
      <c r="AD259">
        <f t="shared" ref="AD259:AD275" si="12">2*C259</f>
        <v>0</v>
      </c>
      <c r="AE259">
        <f t="shared" ref="AE259:AE275" si="13">3*D259</f>
        <v>3</v>
      </c>
      <c r="AF259">
        <f t="shared" ref="AF259:AF275" si="14">4*E259</f>
        <v>0</v>
      </c>
      <c r="AG259">
        <v>0</v>
      </c>
      <c r="AH259">
        <v>0</v>
      </c>
      <c r="AI259">
        <v>0</v>
      </c>
    </row>
    <row r="260" spans="1:35" x14ac:dyDescent="0.25">
      <c r="A260">
        <f>novatel_oem615[[#This Row],[GPS_WEEKS]]*604800+novatel_oem615[[#This Row],[GPS_SECONDS]]+novatel_oem615[[#This Row],[GPS_FRAC_SECS]]</f>
        <v>206387148.67199999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-2334000</v>
      </c>
      <c r="M260">
        <v>-6317000</v>
      </c>
      <c r="N260">
        <v>764700</v>
      </c>
      <c r="O260">
        <v>4235</v>
      </c>
      <c r="P260">
        <v>-833</v>
      </c>
      <c r="Q260">
        <v>5980</v>
      </c>
      <c r="R260">
        <v>6.0092201230000004</v>
      </c>
      <c r="S260">
        <v>-110.64121249999999</v>
      </c>
      <c r="T260">
        <v>399881.875</v>
      </c>
      <c r="AC260">
        <v>0</v>
      </c>
      <c r="AD260">
        <f t="shared" si="12"/>
        <v>0</v>
      </c>
      <c r="AE260">
        <f t="shared" si="13"/>
        <v>0</v>
      </c>
      <c r="AF260">
        <f t="shared" si="14"/>
        <v>0</v>
      </c>
      <c r="AG260">
        <v>0</v>
      </c>
      <c r="AH260">
        <v>0</v>
      </c>
      <c r="AI260">
        <v>0</v>
      </c>
    </row>
    <row r="261" spans="1:35" x14ac:dyDescent="0.25">
      <c r="A261">
        <f>novatel_oem615[[#This Row],[GPS_WEEKS]]*604800+novatel_oem615[[#This Row],[GPS_SECONDS]]+novatel_oem615[[#This Row],[GPS_FRAC_SECS]]</f>
        <v>206387148.92199999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-2333000</v>
      </c>
      <c r="M261">
        <v>-6317000</v>
      </c>
      <c r="N261">
        <v>766200</v>
      </c>
      <c r="O261">
        <v>4236</v>
      </c>
      <c r="P261">
        <v>-831</v>
      </c>
      <c r="Q261">
        <v>5980</v>
      </c>
      <c r="R261">
        <v>6.0092201230000004</v>
      </c>
      <c r="S261">
        <v>-110.64121249999999</v>
      </c>
      <c r="T261">
        <v>399881.875</v>
      </c>
      <c r="AC261">
        <v>0</v>
      </c>
      <c r="AD261">
        <f t="shared" si="12"/>
        <v>0</v>
      </c>
      <c r="AE261">
        <f t="shared" si="13"/>
        <v>0</v>
      </c>
      <c r="AF261">
        <f t="shared" si="14"/>
        <v>0</v>
      </c>
      <c r="AG261">
        <v>0</v>
      </c>
      <c r="AH261">
        <v>0</v>
      </c>
      <c r="AI261">
        <v>0</v>
      </c>
    </row>
    <row r="262" spans="1:35" x14ac:dyDescent="0.25">
      <c r="A262">
        <f>novatel_oem615[[#This Row],[GPS_WEEKS]]*604800+novatel_oem615[[#This Row],[GPS_SECONDS]]+novatel_oem615[[#This Row],[GPS_FRAC_SECS]]</f>
        <v>206387148.92199999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-2333000</v>
      </c>
      <c r="M262">
        <v>-6317000</v>
      </c>
      <c r="N262">
        <v>766200</v>
      </c>
      <c r="O262">
        <v>4236</v>
      </c>
      <c r="P262">
        <v>-831</v>
      </c>
      <c r="Q262">
        <v>5980</v>
      </c>
      <c r="R262">
        <v>6.5444741249999998</v>
      </c>
      <c r="S262">
        <v>-110.2629929</v>
      </c>
      <c r="T262">
        <v>399851.875</v>
      </c>
      <c r="AC262">
        <v>0</v>
      </c>
      <c r="AD262">
        <f t="shared" si="12"/>
        <v>0</v>
      </c>
      <c r="AE262">
        <f t="shared" si="13"/>
        <v>0</v>
      </c>
      <c r="AF262">
        <f t="shared" si="14"/>
        <v>0</v>
      </c>
      <c r="AG262">
        <v>0</v>
      </c>
      <c r="AH262">
        <v>0</v>
      </c>
      <c r="AI262">
        <v>0</v>
      </c>
    </row>
    <row r="263" spans="1:35" x14ac:dyDescent="0.25">
      <c r="A263">
        <f>novatel_oem615[[#This Row],[GPS_WEEKS]]*604800+novatel_oem615[[#This Row],[GPS_SECONDS]]+novatel_oem615[[#This Row],[GPS_FRAC_SECS]]</f>
        <v>206387149.42199999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L263">
        <v>-2331000</v>
      </c>
      <c r="M263">
        <v>-6318000</v>
      </c>
      <c r="N263">
        <v>769200</v>
      </c>
      <c r="O263">
        <v>4237</v>
      </c>
      <c r="P263">
        <v>-827</v>
      </c>
      <c r="Q263">
        <v>5979</v>
      </c>
      <c r="R263">
        <v>6.5444741249999998</v>
      </c>
      <c r="S263">
        <v>-110.2629929</v>
      </c>
      <c r="T263">
        <v>399851.875</v>
      </c>
      <c r="AC263">
        <v>0</v>
      </c>
      <c r="AD263">
        <f t="shared" si="12"/>
        <v>0</v>
      </c>
      <c r="AE263">
        <f t="shared" si="13"/>
        <v>0</v>
      </c>
      <c r="AF263">
        <f t="shared" si="14"/>
        <v>0</v>
      </c>
      <c r="AG263">
        <v>0</v>
      </c>
      <c r="AH263">
        <v>0</v>
      </c>
      <c r="AI263">
        <v>0</v>
      </c>
    </row>
    <row r="264" spans="1:35" x14ac:dyDescent="0.25">
      <c r="A264">
        <f>novatel_oem615[[#This Row],[GPS_WEEKS]]*604800+novatel_oem615[[#This Row],[GPS_SECONDS]]+novatel_oem615[[#This Row],[GPS_FRAC_SECS]]</f>
        <v>206387149.67199999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-2330000</v>
      </c>
      <c r="M264">
        <v>-6318000</v>
      </c>
      <c r="N264">
        <v>770700</v>
      </c>
      <c r="O264">
        <v>4238</v>
      </c>
      <c r="P264">
        <v>-826</v>
      </c>
      <c r="Q264">
        <v>5979</v>
      </c>
      <c r="R264">
        <v>6.5444741249999998</v>
      </c>
      <c r="S264">
        <v>-110.2629929</v>
      </c>
      <c r="T264">
        <v>399851.875</v>
      </c>
      <c r="AC264">
        <v>0</v>
      </c>
      <c r="AD264">
        <f t="shared" si="12"/>
        <v>0</v>
      </c>
      <c r="AE264">
        <f t="shared" si="13"/>
        <v>0</v>
      </c>
      <c r="AF264">
        <f t="shared" si="14"/>
        <v>0</v>
      </c>
      <c r="AG264">
        <v>0</v>
      </c>
      <c r="AH264">
        <v>0</v>
      </c>
      <c r="AI264">
        <v>0</v>
      </c>
    </row>
    <row r="265" spans="1:35" x14ac:dyDescent="0.25">
      <c r="A265">
        <f>novatel_oem615[[#This Row],[GPS_WEEKS]]*604800+novatel_oem615[[#This Row],[GPS_SECONDS]]+novatel_oem615[[#This Row],[GPS_FRAC_SECS]]</f>
        <v>206387149.92199999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-2329000</v>
      </c>
      <c r="M265">
        <v>-6318000</v>
      </c>
      <c r="N265">
        <v>772200</v>
      </c>
      <c r="O265">
        <v>4238</v>
      </c>
      <c r="P265">
        <v>-824</v>
      </c>
      <c r="Q265">
        <v>5979</v>
      </c>
      <c r="R265">
        <v>6.5444741249999998</v>
      </c>
      <c r="S265">
        <v>-110.2629929</v>
      </c>
      <c r="T265">
        <v>399851.875</v>
      </c>
      <c r="AC265">
        <v>0</v>
      </c>
      <c r="AD265">
        <f t="shared" si="12"/>
        <v>0</v>
      </c>
      <c r="AE265">
        <f t="shared" si="13"/>
        <v>0</v>
      </c>
      <c r="AF265">
        <f t="shared" si="14"/>
        <v>0</v>
      </c>
      <c r="AG265">
        <v>0</v>
      </c>
      <c r="AH265">
        <v>0</v>
      </c>
      <c r="AI265">
        <v>0</v>
      </c>
    </row>
    <row r="266" spans="1:35" x14ac:dyDescent="0.25">
      <c r="A266">
        <f>novatel_oem615[[#This Row],[GPS_WEEKS]]*604800+novatel_oem615[[#This Row],[GPS_SECONDS]]+novatel_oem615[[#This Row],[GPS_FRAC_SECS]]</f>
        <v>206387150.17199999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-2328000</v>
      </c>
      <c r="M266">
        <v>-6318000</v>
      </c>
      <c r="N266">
        <v>773600</v>
      </c>
      <c r="O266">
        <v>4239</v>
      </c>
      <c r="P266">
        <v>-822</v>
      </c>
      <c r="Q266">
        <v>5979</v>
      </c>
      <c r="R266">
        <v>6.5444741249999998</v>
      </c>
      <c r="S266">
        <v>-110.2629929</v>
      </c>
      <c r="T266">
        <v>399851.875</v>
      </c>
      <c r="AC266">
        <v>0</v>
      </c>
      <c r="AD266">
        <f t="shared" si="12"/>
        <v>0</v>
      </c>
      <c r="AE266">
        <f t="shared" si="13"/>
        <v>0</v>
      </c>
      <c r="AF266">
        <f t="shared" si="14"/>
        <v>0</v>
      </c>
      <c r="AG266">
        <v>0</v>
      </c>
      <c r="AH266">
        <v>0</v>
      </c>
      <c r="AI266">
        <v>0</v>
      </c>
    </row>
    <row r="267" spans="1:35" x14ac:dyDescent="0.25">
      <c r="A267">
        <f>novatel_oem615[[#This Row],[GPS_WEEKS]]*604800+novatel_oem615[[#This Row],[GPS_SECONDS]]+novatel_oem615[[#This Row],[GPS_FRAC_SECS]]</f>
        <v>206387150.42199999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-2327000</v>
      </c>
      <c r="M267">
        <v>-6318000</v>
      </c>
      <c r="N267">
        <v>775100</v>
      </c>
      <c r="O267">
        <v>4240</v>
      </c>
      <c r="P267">
        <v>-820</v>
      </c>
      <c r="Q267">
        <v>5978</v>
      </c>
      <c r="R267">
        <v>6.5444741249999998</v>
      </c>
      <c r="S267">
        <v>-110.2629929</v>
      </c>
      <c r="T267">
        <v>399851.875</v>
      </c>
      <c r="AC267">
        <v>0</v>
      </c>
      <c r="AD267">
        <f t="shared" si="12"/>
        <v>0</v>
      </c>
      <c r="AE267">
        <f t="shared" si="13"/>
        <v>0</v>
      </c>
      <c r="AF267">
        <f t="shared" si="14"/>
        <v>0</v>
      </c>
      <c r="AG267">
        <v>0</v>
      </c>
      <c r="AH267">
        <v>0</v>
      </c>
      <c r="AI267">
        <v>0</v>
      </c>
    </row>
    <row r="268" spans="1:35" x14ac:dyDescent="0.25">
      <c r="A268">
        <f>novatel_oem615[[#This Row],[GPS_WEEKS]]*604800+novatel_oem615[[#This Row],[GPS_SECONDS]]+novatel_oem615[[#This Row],[GPS_FRAC_SECS]]</f>
        <v>206387150.67199999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L268">
        <v>-2326000</v>
      </c>
      <c r="M268">
        <v>-6319000</v>
      </c>
      <c r="N268">
        <v>776600</v>
      </c>
      <c r="O268">
        <v>4240</v>
      </c>
      <c r="P268">
        <v>-818</v>
      </c>
      <c r="Q268">
        <v>5978</v>
      </c>
      <c r="R268">
        <v>6.5444741249999998</v>
      </c>
      <c r="S268">
        <v>-110.2629929</v>
      </c>
      <c r="T268">
        <v>399851.875</v>
      </c>
      <c r="AC268">
        <v>0</v>
      </c>
      <c r="AD268">
        <f t="shared" si="12"/>
        <v>0</v>
      </c>
      <c r="AE268">
        <f t="shared" si="13"/>
        <v>0</v>
      </c>
      <c r="AF268">
        <f t="shared" si="14"/>
        <v>0</v>
      </c>
      <c r="AG268">
        <v>0</v>
      </c>
      <c r="AH268">
        <v>0</v>
      </c>
      <c r="AI268">
        <v>0</v>
      </c>
    </row>
    <row r="269" spans="1:35" x14ac:dyDescent="0.25">
      <c r="A269">
        <f>novatel_oem615[[#This Row],[GPS_WEEKS]]*604800+novatel_oem615[[#This Row],[GPS_SECONDS]]+novatel_oem615[[#This Row],[GPS_FRAC_SECS]]</f>
        <v>206387150.92199999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L269">
        <v>-2325000</v>
      </c>
      <c r="M269">
        <v>-6319000</v>
      </c>
      <c r="N269">
        <v>778100</v>
      </c>
      <c r="O269">
        <v>4241</v>
      </c>
      <c r="P269">
        <v>-816</v>
      </c>
      <c r="Q269">
        <v>5978</v>
      </c>
      <c r="R269">
        <v>6.5444741249999998</v>
      </c>
      <c r="S269">
        <v>-110.2629929</v>
      </c>
      <c r="T269">
        <v>399851.875</v>
      </c>
      <c r="AC269">
        <v>0</v>
      </c>
      <c r="AD269">
        <f t="shared" si="12"/>
        <v>0</v>
      </c>
      <c r="AE269">
        <f t="shared" si="13"/>
        <v>0</v>
      </c>
      <c r="AF269">
        <f t="shared" si="14"/>
        <v>0</v>
      </c>
      <c r="AG269">
        <v>0</v>
      </c>
      <c r="AH269">
        <v>0</v>
      </c>
      <c r="AI269">
        <v>0</v>
      </c>
    </row>
    <row r="270" spans="1:35" x14ac:dyDescent="0.25">
      <c r="A270">
        <f>novatel_oem615[[#This Row],[GPS_WEEKS]]*604800+novatel_oem615[[#This Row],[GPS_SECONDS]]+novatel_oem615[[#This Row],[GPS_FRAC_SECS]]</f>
        <v>206387151.17199999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L270">
        <v>-2324000</v>
      </c>
      <c r="M270">
        <v>-6319000</v>
      </c>
      <c r="N270">
        <v>779500</v>
      </c>
      <c r="O270">
        <v>4242</v>
      </c>
      <c r="P270">
        <v>-814</v>
      </c>
      <c r="Q270">
        <v>5978</v>
      </c>
      <c r="R270">
        <v>6.5444741249999998</v>
      </c>
      <c r="S270">
        <v>-110.2629929</v>
      </c>
      <c r="T270">
        <v>399851.875</v>
      </c>
      <c r="AC270">
        <v>0</v>
      </c>
      <c r="AD270">
        <f t="shared" si="12"/>
        <v>0</v>
      </c>
      <c r="AE270">
        <f t="shared" si="13"/>
        <v>0</v>
      </c>
      <c r="AF270">
        <f t="shared" si="14"/>
        <v>0</v>
      </c>
      <c r="AG270">
        <v>0</v>
      </c>
      <c r="AH270">
        <v>0</v>
      </c>
      <c r="AI270">
        <v>0</v>
      </c>
    </row>
    <row r="271" spans="1:35" x14ac:dyDescent="0.25">
      <c r="A271">
        <f>novatel_oem615[[#This Row],[GPS_WEEKS]]*604800+novatel_oem615[[#This Row],[GPS_SECONDS]]+novatel_oem615[[#This Row],[GPS_FRAC_SECS]]</f>
        <v>206387151.42199999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L271">
        <v>-2323000</v>
      </c>
      <c r="M271">
        <v>-6319000</v>
      </c>
      <c r="N271">
        <v>781000</v>
      </c>
      <c r="O271">
        <v>4243</v>
      </c>
      <c r="P271">
        <v>-813</v>
      </c>
      <c r="Q271">
        <v>5977</v>
      </c>
      <c r="R271">
        <v>6.5444741249999998</v>
      </c>
      <c r="S271">
        <v>-110.2629929</v>
      </c>
      <c r="T271">
        <v>399851.875</v>
      </c>
      <c r="AC271">
        <v>0</v>
      </c>
      <c r="AD271">
        <f t="shared" si="12"/>
        <v>0</v>
      </c>
      <c r="AE271">
        <f t="shared" si="13"/>
        <v>0</v>
      </c>
      <c r="AF271">
        <f t="shared" si="14"/>
        <v>0</v>
      </c>
      <c r="AG271">
        <v>0</v>
      </c>
      <c r="AH271">
        <v>0</v>
      </c>
      <c r="AI271">
        <v>0</v>
      </c>
    </row>
    <row r="272" spans="1:35" x14ac:dyDescent="0.25">
      <c r="A272">
        <f>novatel_oem615[[#This Row],[GPS_WEEKS]]*604800+novatel_oem615[[#This Row],[GPS_SECONDS]]+novatel_oem615[[#This Row],[GPS_FRAC_SECS]]</f>
        <v>206387151.67199999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-2322000</v>
      </c>
      <c r="M272">
        <v>-6319000</v>
      </c>
      <c r="N272">
        <v>782500</v>
      </c>
      <c r="O272">
        <v>4243</v>
      </c>
      <c r="P272">
        <v>-811</v>
      </c>
      <c r="Q272">
        <v>5977</v>
      </c>
      <c r="R272">
        <v>6.5444741249999998</v>
      </c>
      <c r="S272">
        <v>-110.2629929</v>
      </c>
      <c r="T272">
        <v>399851.875</v>
      </c>
      <c r="AC272">
        <v>0</v>
      </c>
      <c r="AD272">
        <f t="shared" si="12"/>
        <v>0</v>
      </c>
      <c r="AE272">
        <f t="shared" si="13"/>
        <v>0</v>
      </c>
      <c r="AF272">
        <f t="shared" si="14"/>
        <v>0</v>
      </c>
      <c r="AG272">
        <v>0</v>
      </c>
      <c r="AH272">
        <v>0</v>
      </c>
      <c r="AI272">
        <v>0</v>
      </c>
    </row>
    <row r="273" spans="1:35" x14ac:dyDescent="0.25">
      <c r="A273">
        <f>novatel_oem615[[#This Row],[GPS_WEEKS]]*604800+novatel_oem615[[#This Row],[GPS_SECONDS]]+novatel_oem615[[#This Row],[GPS_FRAC_SECS]]</f>
        <v>206387151.92199999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L273">
        <v>-2321000</v>
      </c>
      <c r="M273">
        <v>-6320000</v>
      </c>
      <c r="N273">
        <v>784000</v>
      </c>
      <c r="O273">
        <v>4244</v>
      </c>
      <c r="P273">
        <v>-809</v>
      </c>
      <c r="Q273">
        <v>5977</v>
      </c>
      <c r="R273">
        <v>6.5444741249999998</v>
      </c>
      <c r="S273">
        <v>-110.2629929</v>
      </c>
      <c r="T273">
        <v>399851.875</v>
      </c>
      <c r="AC273">
        <v>0</v>
      </c>
      <c r="AD273">
        <f t="shared" si="12"/>
        <v>0</v>
      </c>
      <c r="AE273">
        <f t="shared" si="13"/>
        <v>0</v>
      </c>
      <c r="AF273">
        <f t="shared" si="14"/>
        <v>0</v>
      </c>
      <c r="AG273">
        <v>0</v>
      </c>
      <c r="AH273">
        <v>0</v>
      </c>
      <c r="AI273">
        <v>0</v>
      </c>
    </row>
    <row r="274" spans="1:35" x14ac:dyDescent="0.25">
      <c r="A274">
        <f>novatel_oem615[[#This Row],[GPS_WEEKS]]*604800+novatel_oem615[[#This Row],[GPS_SECONDS]]+novatel_oem615[[#This Row],[GPS_FRAC_SECS]]</f>
        <v>206387152.17199999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L274">
        <v>-2320000</v>
      </c>
      <c r="M274">
        <v>-6320000</v>
      </c>
      <c r="N274">
        <v>785400</v>
      </c>
      <c r="O274">
        <v>4245</v>
      </c>
      <c r="P274">
        <v>-807</v>
      </c>
      <c r="Q274">
        <v>5977</v>
      </c>
      <c r="R274">
        <v>6.5444741249999998</v>
      </c>
      <c r="S274">
        <v>-110.2629929</v>
      </c>
      <c r="T274">
        <v>399851.875</v>
      </c>
      <c r="AC274">
        <v>0</v>
      </c>
      <c r="AD274">
        <f t="shared" si="12"/>
        <v>0</v>
      </c>
      <c r="AE274">
        <f t="shared" si="13"/>
        <v>3</v>
      </c>
      <c r="AF274">
        <f t="shared" si="14"/>
        <v>0</v>
      </c>
      <c r="AG274">
        <v>0</v>
      </c>
      <c r="AH274">
        <v>0</v>
      </c>
      <c r="AI274">
        <v>0</v>
      </c>
    </row>
    <row r="275" spans="1:35" x14ac:dyDescent="0.25">
      <c r="A275">
        <f>novatel_oem615[[#This Row],[GPS_WEEKS]]*604800+novatel_oem615[[#This Row],[GPS_SECONDS]]+novatel_oem615[[#This Row],[GPS_FRAC_SECS]]</f>
        <v>206387152.42199999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L275">
        <v>-2319000</v>
      </c>
      <c r="M275">
        <v>-6320000</v>
      </c>
      <c r="N275">
        <v>786900</v>
      </c>
      <c r="O275">
        <v>4245</v>
      </c>
      <c r="P275">
        <v>-805</v>
      </c>
      <c r="Q275">
        <v>5976</v>
      </c>
      <c r="R275">
        <v>6.5444741249999998</v>
      </c>
      <c r="S275">
        <v>-110.2629929</v>
      </c>
      <c r="T275">
        <v>399851.875</v>
      </c>
      <c r="AC275">
        <v>0</v>
      </c>
      <c r="AD275">
        <f t="shared" si="12"/>
        <v>0</v>
      </c>
      <c r="AE275">
        <f t="shared" si="13"/>
        <v>0</v>
      </c>
      <c r="AF275">
        <f t="shared" si="14"/>
        <v>0</v>
      </c>
      <c r="AG275">
        <v>0</v>
      </c>
      <c r="AH275">
        <v>0</v>
      </c>
      <c r="AI275">
        <v>0</v>
      </c>
    </row>
    <row r="276" spans="1:35" x14ac:dyDescent="0.25">
      <c r="A276">
        <f>novatel_oem615[[#This Row],[GPS_WEEKS]]*604800+novatel_oem615[[#This Row],[GPS_SECONDS]]+novatel_oem615[[#This Row],[GPS_FRAC_SECS]]</f>
        <v>206387152.67199999</v>
      </c>
      <c r="L276">
        <v>-2318000</v>
      </c>
      <c r="M276">
        <v>-6320000</v>
      </c>
      <c r="N276">
        <v>788400</v>
      </c>
      <c r="O276">
        <v>4246</v>
      </c>
      <c r="P276">
        <v>-803</v>
      </c>
      <c r="Q276">
        <v>5976</v>
      </c>
      <c r="R276">
        <v>6.5444741249999998</v>
      </c>
      <c r="S276">
        <v>-110.2629929</v>
      </c>
      <c r="T276">
        <v>399851.875</v>
      </c>
    </row>
    <row r="277" spans="1:35" x14ac:dyDescent="0.25">
      <c r="A277">
        <f>novatel_oem615[[#This Row],[GPS_WEEKS]]*604800+novatel_oem615[[#This Row],[GPS_SECONDS]]+novatel_oem615[[#This Row],[GPS_FRAC_SECS]]</f>
        <v>206387152.92199999</v>
      </c>
      <c r="L277">
        <v>-2316000</v>
      </c>
      <c r="M277">
        <v>-6320000</v>
      </c>
      <c r="N277">
        <v>789900</v>
      </c>
      <c r="O277">
        <v>4247</v>
      </c>
      <c r="P277">
        <v>-801</v>
      </c>
      <c r="Q277">
        <v>5976</v>
      </c>
      <c r="R277">
        <v>6.5444741249999998</v>
      </c>
      <c r="S277">
        <v>-110.2629929</v>
      </c>
      <c r="T277">
        <v>399851.875</v>
      </c>
    </row>
    <row r="278" spans="1:35" x14ac:dyDescent="0.25">
      <c r="A278">
        <f>novatel_oem615[[#This Row],[GPS_WEEKS]]*604800+novatel_oem615[[#This Row],[GPS_SECONDS]]+novatel_oem615[[#This Row],[GPS_FRAC_SECS]]</f>
        <v>206387153.17199999</v>
      </c>
      <c r="L278">
        <v>-2315000</v>
      </c>
      <c r="M278">
        <v>-6321000</v>
      </c>
      <c r="N278">
        <v>791400</v>
      </c>
      <c r="O278">
        <v>4248</v>
      </c>
      <c r="P278">
        <v>-800</v>
      </c>
      <c r="Q278">
        <v>5976</v>
      </c>
      <c r="R278">
        <v>6.5444741249999998</v>
      </c>
      <c r="S278">
        <v>-110.2629929</v>
      </c>
      <c r="T278">
        <v>399851.875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1436AA-3B23-4E44-921C-DF1C8B2094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novatel_oem615</vt:lpstr>
      <vt:lpstr>generic_imu</vt:lpstr>
      <vt:lpstr>COM6_2026_05_17_18_53_50_882_pa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Iustinian Serban</dc:creator>
  <cp:lastModifiedBy>Iustinian Serban</cp:lastModifiedBy>
  <dcterms:created xsi:type="dcterms:W3CDTF">2015-06-05T18:17:20Z</dcterms:created>
  <dcterms:modified xsi:type="dcterms:W3CDTF">2026-05-18T17:52:40Z</dcterms:modified>
</cp:coreProperties>
</file>